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ode\AITHUCCHIEN\Labs\Lab28\"/>
    </mc:Choice>
  </mc:AlternateContent>
  <xr:revisionPtr revIDLastSave="0" documentId="13_ncr:1_{09FF0CCC-4238-401A-95DF-8A18BA72295E}" xr6:coauthVersionLast="47" xr6:coauthVersionMax="47" xr10:uidLastSave="{00000000-0000-0000-0000-000000000000}"/>
  <bookViews>
    <workbookView xWindow="-108" yWindow="-108" windowWidth="23256" windowHeight="12576" tabRatio="500" xr2:uid="{00000000-000D-0000-FFFF-FFFF00000000}"/>
  </bookViews>
  <sheets>
    <sheet name="0_Hướng dẫn" sheetId="1" r:id="rId1"/>
    <sheet name="0_Đầu vào" sheetId="2" r:id="rId2"/>
    <sheet name="1_Danh sách việc" sheetId="3" r:id="rId3"/>
    <sheet name="2_Mức tự động" sheetId="4" r:id="rId4"/>
    <sheet name="3_Bảng lộ trình" sheetId="5" r:id="rId5"/>
    <sheet name="4_Rà soát" sheetId="6" r:id="rId6"/>
    <sheet name="5_Slide lãnh đạo" sheetId="7" r:id="rId7"/>
    <sheet name="6_Tự kiểm tra" sheetId="8" r:id="rId8"/>
    <sheet name="7_Thang điểm" sheetId="9" r:id="rId9"/>
  </sheets>
  <calcPr calcId="181029" iterateDelta="1E-4"/>
</workbook>
</file>

<file path=xl/calcChain.xml><?xml version="1.0" encoding="utf-8"?>
<calcChain xmlns="http://schemas.openxmlformats.org/spreadsheetml/2006/main">
  <c r="D10" i="9" l="1"/>
  <c r="B10" i="9"/>
  <c r="B10" i="8"/>
  <c r="C10" i="8" s="1"/>
  <c r="B9" i="8"/>
  <c r="C9" i="8" s="1"/>
  <c r="B8" i="8"/>
  <c r="C8" i="8" s="1"/>
  <c r="C8" i="7"/>
  <c r="D8" i="7" s="1"/>
  <c r="C7" i="7"/>
  <c r="D7" i="7" s="1"/>
  <c r="C6" i="7"/>
  <c r="D6" i="7" s="1"/>
  <c r="C5" i="7"/>
  <c r="D5" i="7" s="1"/>
  <c r="C4" i="7"/>
  <c r="D4" i="7" s="1"/>
  <c r="B11" i="8" s="1"/>
  <c r="C11" i="8" s="1"/>
  <c r="M8" i="4"/>
  <c r="J8" i="4"/>
  <c r="K8" i="4" s="1"/>
  <c r="L8" i="4" s="1"/>
  <c r="M7" i="4"/>
  <c r="J7" i="4"/>
  <c r="K7" i="4" s="1"/>
  <c r="L7" i="4" s="1"/>
  <c r="M6" i="4"/>
  <c r="J6" i="4"/>
  <c r="K6" i="4" s="1"/>
  <c r="L6" i="4" s="1"/>
  <c r="J5" i="4"/>
  <c r="K5" i="4" s="1"/>
  <c r="L5" i="4" s="1"/>
  <c r="B12" i="8" s="1"/>
  <c r="C12" i="8" s="1"/>
  <c r="O14" i="3"/>
  <c r="M14" i="3"/>
  <c r="N14" i="3" s="1"/>
  <c r="O13" i="3"/>
  <c r="M13" i="3"/>
  <c r="N13" i="3" s="1"/>
  <c r="O12" i="3"/>
  <c r="M12" i="3"/>
  <c r="N12" i="3" s="1"/>
  <c r="O11" i="3"/>
  <c r="M11" i="3"/>
  <c r="O10" i="3"/>
  <c r="M10" i="3"/>
  <c r="N10" i="3" s="1"/>
  <c r="O9" i="3"/>
  <c r="M9" i="3"/>
  <c r="O8" i="3"/>
  <c r="M8" i="3"/>
  <c r="O7" i="3"/>
  <c r="M7" i="3"/>
  <c r="O6" i="3"/>
  <c r="M6" i="3"/>
  <c r="O5" i="3"/>
  <c r="M5" i="3"/>
  <c r="B12" i="2"/>
  <c r="B6" i="8" l="1"/>
  <c r="B5" i="8"/>
  <c r="N8" i="3"/>
  <c r="N9" i="3"/>
  <c r="N5" i="3"/>
  <c r="B7" i="8"/>
  <c r="C7" i="8" s="1"/>
  <c r="C6" i="8"/>
  <c r="C5" i="8"/>
  <c r="N6" i="3"/>
  <c r="N7" i="3"/>
  <c r="N11" i="3"/>
</calcChain>
</file>

<file path=xl/sharedStrings.xml><?xml version="1.0" encoding="utf-8"?>
<sst xmlns="http://schemas.openxmlformats.org/spreadsheetml/2006/main" count="310" uniqueCount="296">
  <si>
    <t>CS13 · Lộ trình sản phẩm AI — File thực hành · Đề 1 · SổSạch</t>
  </si>
  <si>
    <t>AI in Action · Track 1 · Khóa 4. FILE LÀM BÀI CỦA NHÓM · Đề 1 · SổSạch. Dữ liệu của đề nằm trong file CS13_HoSoTinhHuong.pdf; file CS13_Roadmap_Mau.xlsx là bản mẫu đã điền (một sản phẩm khác) để xem cách điền.</t>
  </si>
  <si>
    <t>Luật chơi: CHỈ điền vào ô màu VÀNG. Ô màu XANH là công thức và đã được khóa. Bắt đầu bằng trang 0_Đầu vào (Nhiệm vụ 0: đọc hồ sơ tình huống).</t>
  </si>
  <si>
    <t>Thứ tự làm: 0 Đọc hồ sơ → 1 Danh sách việc → 2 Mức tự động → 3 Bảng lộ trình → 4 Rà soát → 6 Tự kiểm tra. Trang 5 (slide lãnh đạo) làm ở nhà.</t>
  </si>
  <si>
    <t>Số liệu kinh tế của đề đã điền sẵn ở trang 2, dòng 12–20. Không cần file của buổi nào khác: mọi dữ liệu cần dùng nằm trong hồ sơ tình huống, Đề 1.</t>
  </si>
  <si>
    <t>Lộ trình theo GIẢ THUYẾT: mỗi hạng mục phải trả lời 'Ta tin rằng làm X sẽ giúp Y đạt Z; biết đúng khi chỉ số W đạt ngưỡng V'.</t>
  </si>
  <si>
    <t>Tên file nộp: [Nhom]_CS13.xlsx · Nộp bản có Nhiệm vụ 1–4 lên VLearn trước 18:00 ngày 16/10. Trang 5 (Nhiệm vụ 5, làm ở nhà) nộp trước 23:59 ngày 19/10.</t>
  </si>
  <si>
    <t>Tuân thủ: Luật Trí tuệ nhân tạo số 134/2025/QH15 (hiệu lực 01/3/2026) chia hệ thống AI thành 3 mức rủi ro và yêu cầu người dùng được thông tin khi tương tác với AI. Đọc văn bản gốc trước khi ghi vào bài.</t>
  </si>
  <si>
    <t>Chú thích màu:</t>
  </si>
  <si>
    <t>Ô điền giả định (không khóa)</t>
  </si>
  <si>
    <t>Ô công thức (tự tính, đã khóa)</t>
  </si>
  <si>
    <t>0 · Nhiệm vụ 0: đọc hồ sơ tình huống, Đề 1 (5 phút)</t>
  </si>
  <si>
    <t>Cả nhóm đọc cùng một hồ sơ trước khi điền. Nhiệm vụ 0 không tính điểm; đánh dấu "Có" khi cả nhóm đã đọc mục đó.</t>
  </si>
  <si>
    <t>Mục trong hồ sơ tình huống</t>
  </si>
  <si>
    <t>Nhóm đã đọc chưa?</t>
  </si>
  <si>
    <t>Dùng ở đâu trong file</t>
  </si>
  <si>
    <t>Lưu ý</t>
  </si>
  <si>
    <t>Ghi chú của nhóm</t>
  </si>
  <si>
    <t>Số liệu kinh tế của đề (9 dòng)</t>
  </si>
  <si>
    <t>Có</t>
  </si>
  <si>
    <t>Đã điền sẵn ở trang 2, dòng 12–20: chi phí mỗi việc, biên lợi nhuận, điều kiện dừng</t>
  </si>
  <si>
    <t>Đọc để hiểu; không cần chép</t>
  </si>
  <si>
    <t>Mức 1 (duyệt 20%): 704 đ/hoá đơn, biên 68,8%; Mức 0 (duyệt 100%): 1.704 đ, biên 24,5%. Kịch bản xấu hết tiền tháng 7.</t>
  </si>
  <si>
    <t>Bối cảnh, sản phẩm, "1 việc" là gì</t>
  </si>
  <si>
    <t>Giả thuyết và chỉ số ở trang 1</t>
  </si>
  <si>
    <t>Viết giả thuyết theo đúng "1 việc" của đề</t>
  </si>
  <si>
    <t>1 việc = 1 hoá đơn được đọc, đối chiếu và nhập vào phần mềm kế toán. Văn phòng thử nghiệm: 40 doanh nghiệp, ~12.000 hoá đơn/tháng.</t>
  </si>
  <si>
    <t>6 việc gợi ý</t>
  </si>
  <si>
    <t>Trang 1, cột B–C; nhóm được thêm việc của mình</t>
  </si>
  <si>
    <t>Giữ, bỏ hay đổi thứ tự đều phải ghi lý do ở cột Q</t>
  </si>
  <si>
    <t>Giữ 6 việc, thêm việc 7 (kiểm tra tiền, hoá đơn trùng). Đưa việc 4 lên đầu; việc 3 Mua, việc 5 Chờ, việc 6 Không làm.</t>
  </si>
  <si>
    <t>Kết quả đánh giá đã có (bộ đề, cổng phát hành)</t>
  </si>
  <si>
    <t>Cổng đánh giá ở trang 2; việc cần làm trước ở trang 3</t>
  </si>
  <si>
    <t>Đề 2, 3: kết luận chưa phải "Phát hành" → có việc phải làm trước</t>
  </si>
  <si>
    <t>Bản 2 đã qua cổng (97,3% ≥ 95%, 0 lỗi nghiêm trọng, 0 tầng tụt, kappa 0,90) → không có việc phải sửa trước, bắt đầu từ Mức 1.</t>
  </si>
  <si>
    <t>Chuyên gia và số giờ của họ</t>
  </si>
  <si>
    <t>Dòng "Điều kiện cần" ở trang 3; ô "Cần gì" ở trang 5</t>
  </si>
  <si>
    <t>Dẫn đúng số giờ trong hồ sơ</t>
  </si>
  <si>
    <t>Chị Hạnh 3 giờ/tuần (sáng thứ Bảy); 1 vòng chấm bộ đề 40 ca = 8,5 giờ của chị Hạnh + anh Tùng.</t>
  </si>
  <si>
    <t>Gợi ý về người duyệt và mức tự động</t>
  </si>
  <si>
    <t>Trang 2, cột H và I</t>
  </si>
  <si>
    <t>Đề 3: bác sĩ của bệnh viện không tính vào chi phí</t>
  </si>
  <si>
    <t>Người duyệt của mình = kế toán viên công ty, 1,5 phút/hoá đơn, 50.000 đ/giờ. Gợi ý: Mức 1 ~20%, Mức 2 ~10%.</t>
  </si>
  <si>
    <t>Số mục nhóm đã đọc</t>
  </si>
  <si>
    <t>Đủ 6/6 thì sang Nhiệm vụ 1.</t>
  </si>
  <si>
    <t>1 · Danh sách việc và chấm điểm ưu tiên</t>
  </si>
  <si>
    <t>Điểm = Độ phủ × Tác động × Mức tự tin ÷ Công sức × (0,5 + 0,5 × sẵn sàng trung bình của dữ liệu và đánh giá) × (1 − 0,5 × rủi ro bị 'nuốt')</t>
  </si>
  <si>
    <t>STT</t>
  </si>
  <si>
    <t>Việc</t>
  </si>
  <si>
    <t>Kết quả muốn đạt</t>
  </si>
  <si>
    <t>Giả thuyết (Ta tin rằng…)</t>
  </si>
  <si>
    <t>Chỉ số thành công và ngưỡng</t>
  </si>
  <si>
    <t>Độ phủ 1–5</t>
  </si>
  <si>
    <t>Tác động 1–5</t>
  </si>
  <si>
    <t>Mức tự tin 0,5 / 0,8 / 1</t>
  </si>
  <si>
    <t>Công sức 1–5</t>
  </si>
  <si>
    <t>Sẵn sàng dữ liệu 0–1</t>
  </si>
  <si>
    <t>Sẵn sàng đánh giá 0–1</t>
  </si>
  <si>
    <t>Rủi ro bị nuốt 0–1</t>
  </si>
  <si>
    <t>ĐIỂM</t>
  </si>
  <si>
    <t>Xếp hạng</t>
  </si>
  <si>
    <t>Chỉ số có con số?</t>
  </si>
  <si>
    <t>Tự làm / Mua / Chờ / Không làm</t>
  </si>
  <si>
    <t>Lý do (đổi thứ tự, chọn mua hay chờ…)</t>
  </si>
  <si>
    <t>Đọc ảnh hoá đơn giấy, ảnh chụp</t>
  </si>
  <si>
    <t>Giảm 50% giờ nhập hoá đơn ảnh</t>
  </si>
  <si>
    <t>Ta tin rằng dùng bản 2 (đọc ảnh hai bước, rẻ hơn 20%) để đọc ảnh hoá đơn giấy sẽ giúp kế toán viên của văn phòng giảm 50% giờ nhập hoá đơn ảnh; biết đúng khi giờ nhập mỗi hoá đơn ảnh còn ≤ 50% mốc đo tuần 1 mà vẫn 0 lỗi mã số thuế/tiền.</t>
  </si>
  <si>
    <t>Giờ nhập/hoá đơn ảnh ≤ 50% mốc tuần 1 (đo trên ≥ 300 hoá đơn ảnh/tháng); tỷ lệ đạt quy về thực tế ≥ 95% trên bộ đề 40 ca; 0 lỗi mã số thuế/tiền.</t>
  </si>
  <si>
    <t>Tự làm</t>
  </si>
  <si>
    <t>Bản 2 đã qua cổng (97,3%), chi phí gọi AI còn 254 đ/hoá đơn. Xếp hạng 5 (đề để thứ 1) vì chỉ phủ phần hoá đơn ảnh (giả định của nhóm: phần lớn hoá đơn đầu vào đã là hoá đơn điện tử); việc còn lại chủ yếu là đo giờ tiết kiệm.</t>
  </si>
  <si>
    <t>Gắn cờ hoá đơn cần người xem</t>
  </si>
  <si>
    <t>Kế toán chỉ xem khoảng 20% hoá đơn</t>
  </si>
  <si>
    <t>Ta tin rằng gắn cờ hoá đơn rủi ro (đọc không chắc, lệch tiền, mã số thuế không khớp, người bán mới) sẽ giúp kế toán chỉ xem ~20% hoá đơn thay vì 100%, hạ chi phí từ 1.704 đ xuống 704 đ/hoá đơn; biết đúng khi tỷ lệ cờ ≤ 20% và không hoá đơn lỗi nào nằm ngoài cờ.</t>
  </si>
  <si>
    <t>Tỷ lệ hoá đơn gắn cờ ≤ 20%; 100% hoá đơn sai mã số thuế/tiền bị gắn cờ (kiểm trên mẫu 10% ≈ 1.200 hoá đơn/tháng); cờ thừa ≤ 50% số cờ ở tháng 1, ≤ 30% trước khi lên Mức 2.</t>
  </si>
  <si>
    <t>Xếp hạng 2. Gắn cờ quyết định % người duyệt, tức chi phí mỗi hoá đơn: duyệt 100% = 1.704 đ (biên 24,5%), 20% = 704 đ (biên 68,8%), 10% = 579 đ (biên 74,3%). Đúng ý chị Hạnh: cờ thừa một chút được, nửa số hoá đơn bị cờ thì không ai dùng.</t>
  </si>
  <si>
    <t>Nhập tự động hoá đơn điện tử (tệp gốc)</t>
  </si>
  <si>
    <t>Giảm 70% thời gian nhập hoá đơn điện tử</t>
  </si>
  <si>
    <t>Ta tin rằng nối tệp gốc hoá đơn điện tử vào tính năng nhập có sẵn của phần mềm kế toán (không tự xây) sẽ giúp văn phòng giảm 70% thời gian nhập hoá đơn điện tử; biết đúng khi thời gian nhập mỗi hoá đơn điện tử giảm ≥ 70% so với mốc tuần 1.</t>
  </si>
  <si>
    <t>Thời gian nhập/hoá đơn điện tử giảm ≥ 70% so với mốc tuần 1; ≥ 99% tệp gốc nhập thành công không cần gõ tay (trên toàn bộ hoá đơn điện tử của 1 tháng).</t>
  </si>
  <si>
    <t>Mua</t>
  </si>
  <si>
    <t>Phần mềm kế toán đã có sẵn tính năng nhập từ tệp gốc → rủi ro bị nuốt = 1, tự xây là phí công. Chỉ nối dữ liệu và đưa hoá đơn qua bước đối chiếu, gắn cờ của mình; tác động riêng của mình thấp (2).</t>
  </si>
  <si>
    <t>Đối chiếu mã số thuế người bán</t>
  </si>
  <si>
    <t>Không nhập nhầm người bán</t>
  </si>
  <si>
    <t>Ta tin rằng tích hợp dịch vụ tra cứu mã số thuế để đối chiếu mã số thuế và tên người bán trên mọi hoá đơn sẽ giúp văn phòng không nhập nhầm người bán lần nào; biết đúng khi 0 hoá đơn sai mã số thuế lọt vào phần mềm kế toán.</t>
  </si>
  <si>
    <t>0 hoá đơn sai mã số thuế lọt vào sổ trên ~12.000 hoá đơn/tháng; 100% mã số thuế không khớp/ngừng hoạt động bị gắn cờ; tra cứu &lt; 3 giây/hoá đơn.</t>
  </si>
  <si>
    <t>Đưa lên hạng 1 (đề để thứ 4): dịch vụ tra cứu có sẵn để tích hợp (công sức 1), chấm được 100% bằng mã lệnh, trúng điều "sai mã số thuế thì không được lần nào" của chị Hạnh. Mua dịch vụ thay vì tự làm.</t>
  </si>
  <si>
    <t>Gợi ý tài khoản hạch toán</t>
  </si>
  <si>
    <t>Giảm 30% thời gian hạch toán</t>
  </si>
  <si>
    <t>Ta tin rằng gợi ý tài khoản hạch toán theo lịch sử của từng doanh nghiệp sẽ giúp kế toán giảm 30% thời gian hạch toán; biết đúng khi ≥ 80% gợi ý được giữ nguyên không sửa.</t>
  </si>
  <si>
    <t>Gợi ý được giữ nguyên ≥ 80% trên ≥ 2.000 hoá đơn đã hạch toán; thời gian hạch toán/hoá đơn giảm ≥ 30%; cần ≥ 3 tháng dữ liệu hạch toán của ≥ 10 doanh nghiệp.</t>
  </si>
  <si>
    <t>Chờ</t>
  </si>
  <si>
    <t>Chưa có dữ liệu hạch toán của doanh nghiệp khách hàng (sẵn sàng dữ liệu 0,1), chưa có bộ đề. Thu nhật ký sửa của kế toán từ Mức 1; xem lại ở mốc tháng 6, thử ở Mức 0 (chỉ gợi ý) trong 6–12 tháng.</t>
  </si>
  <si>
    <t>Trả lời câu hỏi thuế chung cho khách của văn phòng</t>
  </si>
  <si>
    <t>Bớt cuộc gọi hỏi đáp</t>
  </si>
  <si>
    <t>Ta tin rằng trợ lý trả lời câu hỏi thuế chung sẽ giúp văn phòng bớt cuộc gọi hỏi đáp; biết đúng khi số cuộc gọi hỏi đáp/tháng giảm ≥ 30% mà 0 câu trả lời sai quy định.</t>
  </si>
  <si>
    <t>Cuộc gọi hỏi đáp giảm ≥ 30%/tháng; 0 câu trả lời sai quy định thuế trên mẫu 100 câu do chị Hạnh chấm.</t>
  </si>
  <si>
    <t>Không làm</t>
  </si>
  <si>
    <t>Ngoài "1 việc" của SổSạch (1 hoá đơn); trả lời thuế sai gây rủi ro pháp lý cho văn phòng; dễ bị chatbot chung và nền tảng kế toán nuốt (0,9); không có giờ chuyên gia để chấm (chị Hạnh chỉ 3 giờ/tuần).</t>
  </si>
  <si>
    <t>Kiểm tra số tiền và hoá đơn trùng (việc nhóm thêm)</t>
  </si>
  <si>
    <t>Không nhập sai tiền, không nhập trùng</t>
  </si>
  <si>
    <t>Ta tin rằng kiểm tra bằng mã lệnh tổng tiền = cộng dòng hàng + thuế GTGT và phát hiện hoá đơn trùng (cùng ký hiệu, số, mã số thuế) sẽ giúp văn phòng không nhập sai tiền lần nào; biết đúng khi 0 lỗi tiền hoặc trùng lọt vào sổ.</t>
  </si>
  <si>
    <t>0 hoá đơn sai tiền hoặc trùng lọt vào sổ trên ~12.000 hoá đơn/tháng; 100% hoá đơn lệch tiền &gt; 0 đ bị gắn cờ.</t>
  </si>
  <si>
    <t>Nhóm thêm vì chị Hạnh nói "sai tiền thì không được lần nào". Chấm 100% bằng mã lệnh, rẻ (không thêm lời gọi AI), đi cùng việc 2: hoá đơn lệch tiền tự vào cờ. Xếp hạng 3.</t>
  </si>
  <si>
    <t>2 · Lộ trình tăng dần mức tự động và cổng đánh giá</t>
  </si>
  <si>
    <t>Mỗi lần lên mức phải qua một cổng đánh giá bằng con số. Chưa qua cổng thì chưa lên mức, dù đã đến ngày. Mức tự động quyết định chi phí mỗi việc: xem cột H–L.</t>
  </si>
  <si>
    <t>Mức</t>
  </si>
  <si>
    <t>Tên mức</t>
  </si>
  <si>
    <t>AI làm gì</t>
  </si>
  <si>
    <t>Người làm gì</t>
  </si>
  <si>
    <t>Cổng đánh giá để lên mức này (chỉ số + ngưỡng + cỡ mẫu)</t>
  </si>
  <si>
    <t>Dữ liệu / hạ tầng / tuân thủ cần có</t>
  </si>
  <si>
    <t>Dự kiến (kế hoạch nội bộ, không phải cam kết)</t>
  </si>
  <si>
    <t>% việc có người duyệt</t>
  </si>
  <si>
    <t>Ai duyệt</t>
  </si>
  <si>
    <t>Chi phí mỗi việc (đ)</t>
  </si>
  <si>
    <t>Biên lợi nhuận gộp</t>
  </si>
  <si>
    <t>Biên ≥ 60%?</t>
  </si>
  <si>
    <t>Cổng có con số?</t>
  </si>
  <si>
    <t>Gợi ý</t>
  </si>
  <si>
    <t>Đọc hoá đơn (tệp gốc, ảnh), điền sẵn các trường, đối chiếu mã số thuế; không tự nhập vào sổ.</t>
  </si>
  <si>
    <t>Kế toán viên của công ty xem 100% hoá đơn, sửa rồi bấm nhập; ghi mốc giờ nhập tuần 1.</t>
  </si>
  <si>
    <t>Mức khởi đầu, không cần cổng. Bản 2 đã qua cổng phát hành trên bộ đề 40 ca: tỷ lệ đạt quy về thực tế 97,3% (≥ 95%), 0 lỗi nghiêm trọng, 0 tầng tụt, kappa 0,90.</t>
  </si>
  <si>
    <t>Bộ đề 40 hoá đơn 4 tầng; kết nối phần mềm kế toán; thông báo cho văn phòng là hoá đơn do AI đọc (Luật AI 134/2025/QH15); thoả thuận xử lý dữ liệu với văn phòng.</t>
  </si>
  <si>
    <t>Tuần 1–2 (chạy song song để đo mốc)</t>
  </si>
  <si>
    <t>Người của mình</t>
  </si>
  <si>
    <t>Hỗ trợ có duyệt</t>
  </si>
  <si>
    <t>Đọc, đối chiếu mã số thuế, kiểm tra tiền, gắn cờ; hoá đơn không cờ được nhập thẳng vào sổ.</t>
  </si>
  <si>
    <t>Kế toán viên duyệt 100% hoá đơn gắn cờ (~10%) + mẫu ngẫu nhiên 10% hoá đơn không cờ; chị Hạnh kiểm 1% mỗi tuần, đếm riêng cờ thừa.</t>
  </si>
  <si>
    <t>Trên ≥ 500 hoá đơn thật chạy song song 2 tuần ở Mức 0: 0 lỗi mã số thuế/tiền ngoài cờ; 100% hoá đơn sai mã số thuế/tiền bị gắn cờ; tỷ lệ cờ ≤ 20%; bộ đề 40 ca vẫn ≥ 95%.</t>
  </si>
  <si>
    <t>Tích hợp dịch vụ tra cứu mã số thuế; quy tắc kiểm tra tiền bằng mã lệnh; nhật ký mọi lần đọc và sửa, lưu cùng chứng từ; bảng theo dõi tỷ lệ cờ hằng ngày.</t>
  </si>
  <si>
    <t>Tháng 1 (dự kiến từ tuần 3)</t>
  </si>
  <si>
    <t>Tự động một phần</t>
  </si>
  <si>
    <t>Như Mức 1 nhưng cờ hẹp hơn: chỉ gắn cờ ảnh mờ, người bán mới, lệch tiền, mã số thuế không khớp.</t>
  </si>
  <si>
    <t>Kế toán viên duyệt hoá đơn gắn cờ (~5%) + mẫu 5%; chị Hạnh, anh Tùng chạy lại bộ đề 40 ca mỗi tháng.</t>
  </si>
  <si>
    <t>Sau ≥ 8 tuần ở Mức 1, trên ≥ 3.000 hoá đơn đã duyệt: 0 lỗi mã số thuế/tiền lọt; tỷ lệ đạt trên mẫu ≥ 98%; cờ thừa ≤ 30% số cờ; bộ đề 40 ca không tầng nào tụt; ≥ 10 văn phòng đang dùng.</t>
  </si>
  <si>
    <t>Dữ liệu sửa của kế toán từ Mức 1 để thu hẹp cờ; bảng giám sát theo từng văn phòng; quy trình hạ mức trong 1 ngày khi có lỗi.</t>
  </si>
  <si>
    <t>Tháng 4–5</t>
  </si>
  <si>
    <t>Tự động có giám sát</t>
  </si>
  <si>
    <t>Tự nhập hoá đơn điện tử tệp gốc tầng Thường; hoá đơn ảnh và tầng Khó, Nguy hiểm vẫn ở Mức 2.</t>
  </si>
  <si>
    <t>Kế toán viên kiểm mẫu 2% + cờ ~3%; cảnh báo tự động hằng ngày; chị Hạnh xem báo cáo mỗi tuần.</t>
  </si>
  <si>
    <t>Sau ≥ 3 tháng ở Mức 2, trên ≥ 20.000 hoá đơn điện tử: 0 lỗi nghiêm trọng (cận trên tỷ lệ lỗi ≤ 0,015%); tỷ lệ đạt ≥ 99,5%; cờ ≤ 5%; chị Hạnh ký duyệt.</t>
  </si>
  <si>
    <t>Cảnh báo tức thời; nhật ký đầy đủ để giải trình; rà soát mức rủi ro theo văn bản hướng dẫn Luật AI; đồng ý bằng văn bản của văn phòng cho việc tự nhập.</t>
  </si>
  <si>
    <t>Tháng 9–12 (chỉ khi qua cổng)</t>
  </si>
  <si>
    <t>SỐ LIỆU KINH TẾ CỦA ĐỀ (đã điền sẵn từ hồ sơ tình huống; sửa được nếu nhóm có lý do)</t>
  </si>
  <si>
    <t>Chi phí gọi AI / việc (đã tính gọi lại)</t>
  </si>
  <si>
    <t>Hồ sơ, bảng Số liệu kinh tế, dòng 1</t>
  </si>
  <si>
    <t>Hạ tầng + đánh giá + khác / việc</t>
  </si>
  <si>
    <t>dòng 2</t>
  </si>
  <si>
    <t>Số phút người duyệt / việc</t>
  </si>
  <si>
    <t>dòng 3</t>
  </si>
  <si>
    <t>Chi phí 1 giờ người duyệt (đ)</t>
  </si>
  <si>
    <t>dòng 4</t>
  </si>
  <si>
    <t>Doanh thu bình quân / khách / tháng (đ)</t>
  </si>
  <si>
    <t>dòng 5</t>
  </si>
  <si>
    <t>Số việc bình quân / khách / tháng</t>
  </si>
  <si>
    <t>dòng 6</t>
  </si>
  <si>
    <t>Biến nguy hiểm nhất</t>
  </si>
  <si>
    <t>Doanh thu bình quân (65% doanh thu đến từ 30% văn phòng dùng nhiều)</t>
  </si>
  <si>
    <t>dòng 7</t>
  </si>
  <si>
    <t>Điều kiện dừng đã chọn (theo đề)</t>
  </si>
  <si>
    <t>NẾU doanh thu bình quân dưới 3,71 triệu/văn phòng trong 2 tháng liên tiếp, trên ít nhất 10 văn phòng, THÌ dừng mở rộng</t>
  </si>
  <si>
    <t>dòng 8</t>
  </si>
  <si>
    <t>Kịch bản xấu hết tiền ở tháng</t>
  </si>
  <si>
    <t>dòng 9</t>
  </si>
  <si>
    <t>Ghi chú: người duyệt của mình là kế toán viên của công ty. Gợi ý của đề: Mức 1 duyệt khoảng 20%; Mức 2 khoảng 10%.</t>
  </si>
  <si>
    <t>3 · Bảng lộ trình theo giả thuyết: Bây giờ / Tiếp theo / Sau này</t>
  </si>
  <si>
    <t>Bây giờ = cam kết (0–3 tháng) · Tiếp theo = định hướng (3–6 tháng) · Sau này = khám phá (6–12 tháng). Càng xa càng ít chi tiết.</t>
  </si>
  <si>
    <t>Dòng</t>
  </si>
  <si>
    <t>Bây giờ (0–3 tháng)</t>
  </si>
  <si>
    <t>Tiếp theo (3–6 tháng)</t>
  </si>
  <si>
    <t>Sau này (6–12 tháng)</t>
  </si>
  <si>
    <t>Việc chính (lấy từ trang 1)</t>
  </si>
  <si>
    <t>Việc 4 Đối chiếu mã số thuế (mua dịch vụ tra cứu), việc 7 Kiểm tra tiền và hoá đơn trùng, việc 2 Gắn cờ; chạy bản 2 đọc ảnh (việc 1) và nối tính năng nhập hoá đơn điện tử có sẵn (việc 3).</t>
  </si>
  <si>
    <t>Thu hẹp cờ để lên Mức 2; mở rộng từ 1 lên 10–20 văn phòng; bắt đầu thu dữ liệu hạch toán cho việc 5.</t>
  </si>
  <si>
    <t>Mức 3 cho hoá đơn điện tử tầng Thường; thử việc 5 Gợi ý tài khoản hạch toán ở Mức 0.</t>
  </si>
  <si>
    <t>Giả thuyết</t>
  </si>
  <si>
    <t>Ta tin rằng đối chiếu mã số thuế + kiểm tra tiền + gắn cờ sẽ giúp kế toán chỉ xem ~20% hoá đơn mà không lọt lỗi mã số thuế/tiền; biết đúng khi tỷ lệ cờ ≤ 20% và 0 lỗi lọt trên ~12.000 hoá đơn/tháng.</t>
  </si>
  <si>
    <t>Ta tin rằng cờ hẹp hơn (học từ sửa của kế toán) sẽ hạ phần duyệt còn 10% mà vẫn 0 lỗi lọt; biết đúng khi cờ thừa ≤ 30% và ≥ 10 văn phòng giữ doanh thu bình quân ≥ 3,71 triệu.</t>
  </si>
  <si>
    <t>Ta tin rằng hoá đơn điện tử tầng Thường tự nhập được với kiểm mẫu 2%, và gợi ý tài khoản giảm 30% thời gian hạch toán; biết đúng khi tỷ lệ đạt ≥ 99,5% trên 20.000 hoá đơn và gợi ý được giữ ≥ 80%.</t>
  </si>
  <si>
    <t>0 lỗi mã số thuế/tiền lọt vào sổ; tỷ lệ cờ ≤ 20%; 100% hoá đơn sai bị gắn cờ (mẫu 10% ≈ 1.200 hoá đơn/tháng); giờ nhập hoá đơn ảnh giảm ≥ 50%.</t>
  </si>
  <si>
    <t>Tỷ lệ đạt trên mẫu ≥ 98% (≥ 3.000 hoá đơn); cờ thừa ≤ 30%; ≥ 10 văn phòng; doanh thu bình quân ≥ 3,71 triệu/văn phòng.</t>
  </si>
  <si>
    <t>Tỷ lệ đạt ≥ 99,5% trên ≥ 20.000 hoá đơn điện tử; gợi ý tài khoản được giữ nguyên ≥ 80% trên ≥ 2.000 hoá đơn.</t>
  </si>
  <si>
    <t>Mức tự động (trang 2)</t>
  </si>
  <si>
    <t>Mức 0 → Mức 1 (kế toán viên duyệt 20%).</t>
  </si>
  <si>
    <t>Mức 2 (duyệt 10%).</t>
  </si>
  <si>
    <t>Mức 3 (duyệt 5%) chỉ cho hoá đơn điện tử tầng Thường; việc 5 ở Mức 0.</t>
  </si>
  <si>
    <t>Cổng đánh giá</t>
  </si>
  <si>
    <t>Đã qua: bộ đề 40 ca 97,3% ≥ 95%, 0 lỗi nghiêm trọng, kappa 0,90. Lên Mức 1: ≥ 500 hoá đơn thật chạy song song 2 tuần, 0 lỗi mã số thuế/tiền ngoài cờ, cờ ≤ 20%.</t>
  </si>
  <si>
    <t>≥ 8 tuần ở Mức 1, ≥ 3.000 hoá đơn đã duyệt: 0 lỗi lọt, đạt ≥ 98%, cờ thừa ≤ 30%, bộ đề 40 ca không tầng nào tụt.</t>
  </si>
  <si>
    <t>≥ 3 tháng ở Mức 2, ≥ 20.000 hoá đơn điện tử: 0 lỗi nghiêm trọng, đạt ≥ 99,5%, chị Hạnh ký duyệt.</t>
  </si>
  <si>
    <t>Điều kiện cần: dữ liệu / hạ tầng / tuân thủ</t>
  </si>
  <si>
    <t>Dữ liệu: bộ đề 40 ca, nhật ký đọc và sửa. Hạ tầng: dịch vụ tra cứu mã số thuế, nối phần mềm kế toán. Người: chị Hạnh 3 giờ/tuần (kiểm 1% ≈ 30 hoá đơn/tuần); 1 vòng bộ đề = 8,5 giờ Hạnh + Tùng. Tuân thủ: báo văn phòng là AI đọc hoá đơn (Luật AI 134/2025/QH15), thoả thuận xử lý dữ liệu.</t>
  </si>
  <si>
    <t>Thêm 9–19 văn phòng; bảng giám sát theo văn phòng; anh Tùng chấm lại bộ đề mỗi tháng; quy trình hạ mức trong 1 ngày.</t>
  </si>
  <si>
    <t>≥ 3 tháng dữ liệu hạch toán của ≥ 10 doanh nghiệp (có đồng ý của khách); cảnh báo tức thời; rà soát mức rủi ro theo văn bản hướng dẫn Luật AI.</t>
  </si>
  <si>
    <t>Căn cứ kinh tế (số liệu của đề và trang 2)</t>
  </si>
  <si>
    <t>Mức 1: 704 đ/hoá đơn (AI 254 + hạ tầng 200 + duyệt 250) → biên 68,8% với 3,97 triệu và 1.760 hoá đơn/văn phòng. Mức 0 (duyệt 100%): 1.704 đ → biên 24,5%, nên phải lên Mức 1 trong tháng 1. Kịch bản xấu hết tiền tháng 7.</t>
  </si>
  <si>
    <t>Mức 2: 579 đ/hoá đơn → biên 74,3%. Doanh thu bình quân chỉ cần giảm 6,5% (xuống dưới 3,71 triệu) là chạm điều kiện dừng; 65% doanh thu đến từ 30% văn phòng dùng nhiều.</t>
  </si>
  <si>
    <t>Mức 3: ~517 đ/hoá đơn → biên 77,1%. Phần duyệt còn 62,5 đ; chi phí chủ yếu là gọi AI 254 đ, nên giá gọi AI giảm là đòn bẩy chính.</t>
  </si>
  <si>
    <t>Điều kiện dừng / đổi hướng</t>
  </si>
  <si>
    <t>Có 1 lỗi mã số thuế hoặc tiền lọt vào sổ → hạ ngay về Mức 0. Tỷ lệ cờ &gt; 30% trong 2 tuần liên tiếp → dừng ở Mức 0, sửa cờ (đo được ngay trên ~12.000 hoá đơn/tháng của văn phòng thử nghiệm). Ngày 90 chưa đủ 10 văn phòng → chưa mở rộng.</t>
  </si>
  <si>
    <t>NẾU doanh thu bình quân dưới 3,71 triệu/văn phòng trong 2 tháng liên tiếp, trên ít nhất 10 văn phòng, THÌ dừng mở rộng. Cờ thừa &gt; 30% sau 8 tuần → ở lại Mức 1, sửa cờ.</t>
  </si>
  <si>
    <t>Có 1 lỗi nghiêm trọng ở Mức 3 → về Mức 2 ngay. Gợi ý tài khoản được giữ &lt; 60% sau 2 tháng → dừng việc 5.</t>
  </si>
  <si>
    <t>4 · Lịch rà soát lộ trình</t>
  </si>
  <si>
    <t>Rà soát theo lịch VÀ mỗi khi có sự kiện. Ở mốc 30/60/90 chọn 1 trong 4: đi tiếp, sửa, đổi hướng, dừng.</t>
  </si>
  <si>
    <t>Mốc / sự kiện</t>
  </si>
  <si>
    <t>Nhìn vào chỉ số nào</t>
  </si>
  <si>
    <t>Quyết định có thể đưa ra</t>
  </si>
  <si>
    <t>Ai quyết</t>
  </si>
  <si>
    <t>Ngày 30</t>
  </si>
  <si>
    <t>Tỷ lệ cờ (≤ 20%); số lỗi mã số thuế/tiền lọt (= 0); cờ thừa trên mẫu 1% của chị Hạnh; giờ nhập hoá đơn ảnh so với mốc tuần 1.</t>
  </si>
  <si>
    <t>Đi tiếp (giữ Mức 1) nếu đạt; Sửa cờ nếu cờ &gt; 20%; Dừng (về Mức 0) nếu có 1 lỗi lọt.</t>
  </si>
  <si>
    <t>Chị Hạnh (chất lượng) + trưởng sản phẩm</t>
  </si>
  <si>
    <t>Ngày 60</t>
  </si>
  <si>
    <t>Tỷ lệ đạt trên mẫu 10% (≥ 98%); cờ thừa (≤ 30%); số văn phòng đã ký (mục tiêu ≥ 5); chi phí thật mỗi hoá đơn so với 704 đ.</t>
  </si>
  <si>
    <t>Đi tiếp mở rộng; Sửa nếu chi phí &gt; 800 đ/hoá đơn hoặc cờ thừa &gt; 30%; Đổi hướng sang chỉ hoá đơn điện tử nếu đọc ảnh không giảm giờ nhập.</t>
  </si>
  <si>
    <t>Trưởng sản phẩm + chị Hạnh; ban lãnh đạo nếu đổi hướng</t>
  </si>
  <si>
    <t>Ngày 90</t>
  </si>
  <si>
    <t>Đã đủ cổng Mức 2 chưa (≥ 3.000 hoá đơn, 0 lỗi, đạt ≥ 98%); số văn phòng (≥ 10); doanh thu bình quân 2 tháng gần nhất so với 3,71 triệu; biên lợi nhuận gộp thật (≥ 60%).</t>
  </si>
  <si>
    <t>Đi tiếp: lên Mức 2, mở tới 20 văn phòng; Sửa: ở Mức 1 thêm 1 tháng; Đổi hướng gói giá nếu doanh thu bình quân sát 3,71 triệu; Dừng mở rộng nếu dưới 3,71 triệu 2 tháng liên tiếp trên ≥ 10 văn phòng.</t>
  </si>
  <si>
    <t>Ban lãnh đạo, theo đề xuất của trưởng sản phẩm và chị Hạnh</t>
  </si>
  <si>
    <t>Có mô hình mới / giá gọi AI giảm mạnh</t>
  </si>
  <si>
    <t>Chi phí gọi AI/hoá đơn (hiện 254 đ); tỷ lệ đạt trên bộ đề 40 ca khi chạy mô hình mới.</t>
  </si>
  <si>
    <t>Chạy lại bộ đề 40 ca (8,5 giờ chuyên gia); chỉ đổi mô hình nếu qua cùng cổng (≥ 95%, 0 lỗi nghiêm trọng, không tầng nào tụt); giá giảm ≥ 30% thì xem lại giá bán và lịch lên Mức 3.</t>
  </si>
  <si>
    <t>Kỹ sư trưởng đề xuất, chị Hạnh duyệt kết quả chấm</t>
  </si>
  <si>
    <t>Nền tảng hoặc đối thủ ra tính năng tương tự</t>
  </si>
  <si>
    <t>Số văn phòng rời bỏ/tháng; doanh thu bình quân; phần việc phần mềm kế toán đã tự làm được (đọc ảnh, đối chiếu mã số thuế).</t>
  </si>
  <si>
    <t>Bỏ việc bị nuốt (như việc 3), dồn sức vào gắn cờ và kiểm tra tiền; cân nhắc làm tiện ích tích hợp vào nền tảng thay vì cạnh tranh.</t>
  </si>
  <si>
    <t>Ban lãnh đạo, quyết trong 2 tuần</t>
  </si>
  <si>
    <t>Quy định pháp lý thay đổi</t>
  </si>
  <si>
    <t>Mức rủi ro của SổSạch theo Luật AI 134/2025/QH15 và văn bản hướng dẫn; quy định về hoá đơn, chứng từ và dữ liệu cá nhân.</t>
  </si>
  <si>
    <t>Rà soát pháp lý trong 2 tuần; giữ hoặc hạ mức tự động; bổ sung thông báo AI, nhật ký, khả năng giải trình.</t>
  </si>
  <si>
    <t>Pháp chế/luật sư tư vấn + ban lãnh đạo</t>
  </si>
  <si>
    <t>Ngày 90 chưa đo được giá trị vòng đời thật: khách mới dùng 3 tháng. Chỉ dùng chỉ số đã có đủ dữ liệu.</t>
  </si>
  <si>
    <t>5 · Lộ trình 1 slide cho lãnh đạo</t>
  </si>
  <si>
    <t>Kết luận trước. Không quá 60 chữ mỗi ô (cột C tự đếm).</t>
  </si>
  <si>
    <t>Số chữ</t>
  </si>
  <si>
    <t>Đạt?</t>
  </si>
  <si>
    <t>Kết luận (1 câu)</t>
  </si>
  <si>
    <t>3 tháng tới SổSạch chạy bản 2 ở Mức 1 (kế toán viên duyệt 20% hoá đơn), làm trước đối chiếu mã số thuế, kiểm tra tiền và gắn cờ; chỉ lên Mức 2 (duyệt 10%) khi 3.000 hoá đơn thật không lỗi mã số thuế hay tiền; quyết định mở rộng hay dừng ở ngày 90.</t>
  </si>
  <si>
    <t>3 việc chính</t>
  </si>
  <si>
    <t>1) Đối chiếu mã số thuế qua dịch vụ tra cứu: 0 lỗi người bán. 2) Kiểm tra tiền và gắn cờ: cờ ≤ 20%, bắt 100% hoá đơn sai tiền. 3) Bản 2 đọc ảnh hoá đơn giấy: giảm 50% giờ nhập ảnh.</t>
  </si>
  <si>
    <t>Cần gì (người, tiền, dữ liệu)</t>
  </si>
  <si>
    <t>Người: kế toán viên duyệt ~60 giờ/tháng; chị Hạnh 3 giờ/tuần, anh Tùng chấm lại bộ đề (8,5 giờ/vòng). Tiền: 704 đ/hoá đơn, biên 68,8%. Dữ liệu: nhật ký sửa của kế toán; 10 văn phòng thử trước ngày 90.</t>
  </si>
  <si>
    <t>Rủi ro lớn nhất &amp; cách xử lý</t>
  </si>
  <si>
    <t>Doanh thu bình quân tụt (65% đến từ 30% văn phòng dùng nhiều; kịch bản xấu hết tiền tháng 7). Xử lý: dưới 3,71 triệu/văn phòng 2 tháng liên tiếp trên ≥ 10 văn phòng thì dừng mở rộng; 1 lỗi mã số thuế/tiền lọt thì về Mức 0.</t>
  </si>
  <si>
    <t>Khi nào xem lại</t>
  </si>
  <si>
    <t>Ngày 30, 60, 90; và ngay khi: có 1 lỗi mã số thuế/tiền, cờ vượt 30% hai tuần liền, giá gọi AI giảm ≥ 30%, phần mềm kế toán ra tính năng tương tự, hoặc có văn bản hướng dẫn Luật AI.</t>
  </si>
  <si>
    <t>6 · Tự kiểm tra</t>
  </si>
  <si>
    <t>Chưa 'Đạt' thì quay lại sửa trước khi nộp file.</t>
  </si>
  <si>
    <t>Điểm kiểm tra</t>
  </si>
  <si>
    <t>Kết quả</t>
  </si>
  <si>
    <t>Số việc đã chấm điểm (cần ≥ 5)</t>
  </si>
  <si>
    <t>Việc được giữ lại mà thiếu giả thuyết hoặc chỉ số có con số (cần = 0)</t>
  </si>
  <si>
    <t>Số mức tự động có cổng đánh giá kèm con số (cần ≥ 2, không tính Mức 0)</t>
  </si>
  <si>
    <t>Bảng lộ trình: số ô tầng 'Bây giờ' đã điền (cần 8/8)</t>
  </si>
  <si>
    <t>Điều kiện dừng tầng 'Bây giờ' có con số</t>
  </si>
  <si>
    <t>Căn cứ kinh tế có con số (từ số liệu của đề)</t>
  </si>
  <si>
    <t>Slide lãnh đạo: số ô đạt (đủ chữ, không quá 60 chữ; cần 5)</t>
  </si>
  <si>
    <t>Số mức tự động có biên lợi nhuận ≥ 60% (cần ≥ 1)</t>
  </si>
  <si>
    <t>7 · Thang điểm sản phẩm (100 điểm)</t>
  </si>
  <si>
    <t>Tiêu chí</t>
  </si>
  <si>
    <t>Điểm</t>
  </si>
  <si>
    <t>Bài đạt khi</t>
  </si>
  <si>
    <t>Điểm nhóm</t>
  </si>
  <si>
    <t>Theo kết quả và giả thuyết</t>
  </si>
  <si>
    <t>Mỗi việc có giả thuyết, chỉ số và ngưỡng, không chỉ là tên tính năng</t>
  </si>
  <si>
    <t>Ưu tiên có căn cứ</t>
  </si>
  <si>
    <t>Bảng điểm ≥ 5 việc; có sẵn sàng dữ liệu, đánh giá và rủi ro bị nuốt; dùng số liệu kinh tế của đề; đổi thứ tự hoặc bỏ việc thì ghi lý do</t>
  </si>
  <si>
    <t>Mức tự động và cổng đánh giá</t>
  </si>
  <si>
    <t>≥ 2 mức có cổng bằng con số (chỉ số, ngưỡng, cỡ mẫu); có vai trò của người; có chi phí mỗi việc theo mức</t>
  </si>
  <si>
    <t>Điều kiện cần và rủi ro</t>
  </si>
  <si>
    <t>Nêu dữ liệu, hạ tầng, tuân thủ; điều kiện dừng đo được với quy mô thử nghiệm; có lịch rà soát</t>
  </si>
  <si>
    <t>Slide lãnh đạo</t>
  </si>
  <si>
    <t>Kết luận trước, ≤ 60 chữ mỗi ô, trả lời được "cần gì" và "khi nào xem lại"</t>
  </si>
  <si>
    <t>TỔNG</t>
  </si>
  <si>
    <t>THANG ĐIỂM TRÌNH BÀY (1–5 điểm mỗi tiêu chí)</t>
  </si>
  <si>
    <t>Mức 1</t>
  </si>
  <si>
    <t>Mức 3</t>
  </si>
  <si>
    <t>Mức 5</t>
  </si>
  <si>
    <t>Rõ ràng</t>
  </si>
  <si>
    <t>Câu đầu chưa có kết luận; người nghe phải đoán nhóm làm gì trước</t>
  </si>
  <si>
    <t>Có kết luận nhưng nói sau phần mở đầu, hoặc thiếu mốc quyết định</t>
  </si>
  <si>
    <t>Câu đầu có việc làm trước, mục tiêu bằng số và ngày quyết định</t>
  </si>
  <si>
    <t>Bằng chứng</t>
  </si>
  <si>
    <t>Không có cổng đánh giá, hoặc số không có nguồn</t>
  </si>
  <si>
    <t>Có cổng nhưng thiếu cỡ mẫu hoặc căn cứ kinh tế</t>
  </si>
  <si>
    <t>Cổng đủ chỉ số, ngưỡng, cỡ mẫu; căn cứ kinh tế lấy từ số liệu của đề</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</si>
  <si>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</si>
  <si>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</si>
  <si>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</si>
  <si>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</si>
  <si>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</si>
  <si>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</si>
  <si>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</si>
  <si>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</si>
  <si>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Bản chuẩn của buổi học không có phần trình bày trên lớp: điểm buổi = thang sản phẩm 100 điểm ở trên. Thang trình bày chỉ dùng khi giảng viên tổ chức trình bày.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</si>
</sst>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5" formatCode="0.0"/>
  </numFmts>
  <fonts count="8" x14ac:knownFonts="1">
    <font>
      <sz val="11"/>
      <color theme="1"/>
      <name val="Calibri"/>
      <family val="2"/>
      <charset val="1"/>
    </font>
    <font>
      <b/>
      <sz val="14"/>
      <name val="Cambria"/>
      <charset val="1"/>
    </font>
    <font>
      <i/>
      <sz val="11"/>
      <color rgb="FF595959"/>
      <name val="Cambria"/>
      <charset val="1"/>
    </font>
    <font>
      <b/>
      <sz val="11"/>
      <color rgb="FFFFFFFF"/>
      <name val="Cambria"/>
      <charset val="1"/>
    </font>
    <font>
      <b/>
      <sz val="11"/>
      <name val="Cambria"/>
      <charset val="1"/>
    </font>
    <font>
      <sz val="11"/>
      <name val="Calibri"/>
      <charset val="1"/>
    </font>
    <font>
      <i/>
      <sz val="10"/>
      <color rgb="FF595959"/>
      <name val="Calibri"/>
      <charset val="1"/>
    </font>
    <font>
      <b/>
      <sz val="12"/>
      <name val="Cambria"/>
      <charset val="1"/>
    </font>
  </fonts>
  <fills count="5">
    <fill>
      <patternFill patternType="none"/>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0" fillId="2" borderId="0" xfId="0" applyFill="1"/>
    <xf numFmtId="0" fontId="0" fillId="3" borderId="0" xfId="0" applyFill="1"/>
    <xf numFmtId="0" fontId="3" fillId="4" borderId="0" xfId="0" applyFont="1" applyFill="1" applyAlignment="1">
      <alignment wrapText="1"/>
    </xf>
    <xf numFmtId="0" fontId="0" fillId="0" borderId="1" xfId="0" applyBorder="1" applyAlignment="1">
      <alignment vertical="top" wrapText="1"/>
    </xf>
    <xf numFmtId="0" fontId="0" fillId="2" borderId="1" xfId="0" applyFill="1" applyBorder="1" applyAlignment="1" applyProtection="1">
      <alignment vertical="top" wrapText="1"/>
      <protection locked="0"/>
    </xf>
    <xf numFmtId="0" fontId="4" fillId="0" borderId="0" xfId="0" applyFont="1"/>
    <xf numFmtId="0" fontId="3" fillId="4" borderId="0" xfId="0" applyFont="1" applyFill="1" applyAlignment="1">
      <alignment vertical="center" wrapText="1"/>
    </xf>
    <xf numFmtId="0" fontId="0" fillId="0" borderId="1" xfId="0" applyBorder="1"/>
    <xf numFmtId="0" fontId="0" fillId="3" borderId="1" xfId="0" applyFill="1" applyBorder="1" applyAlignment="1">
      <alignment vertical="top" wrapText="1"/>
    </xf>
    <xf numFmtId="0" fontId="0" fillId="3" borderId="1" xfId="0" applyFill="1" applyBorder="1" applyAlignment="1">
      <alignment horizontal="center"/>
    </xf>
    <xf numFmtId="0" fontId="5" fillId="2" borderId="0" xfId="0" applyFont="1" applyFill="1" applyProtection="1">
      <protection locked="0"/>
    </xf>
    <xf numFmtId="9" fontId="5" fillId="2" borderId="0" xfId="0" applyNumberFormat="1" applyFont="1" applyFill="1" applyProtection="1">
      <protection locked="0"/>
    </xf>
    <xf numFmtId="164" fontId="5" fillId="3" borderId="0" xfId="0" applyNumberFormat="1" applyFont="1" applyFill="1"/>
    <xf numFmtId="9" fontId="5" fillId="3" borderId="0" xfId="0" applyNumberFormat="1" applyFont="1" applyFill="1"/>
    <xf numFmtId="0" fontId="5" fillId="3" borderId="0" xfId="0" applyFont="1" applyFill="1"/>
    <xf numFmtId="0" fontId="5" fillId="0" borderId="0" xfId="0" applyFont="1"/>
    <xf numFmtId="164" fontId="5" fillId="2" borderId="0" xfId="0" applyNumberFormat="1" applyFont="1" applyFill="1" applyProtection="1">
      <protection locked="0"/>
    </xf>
    <xf numFmtId="0" fontId="6" fillId="0" borderId="0" xfId="0" applyFont="1"/>
    <xf numFmtId="165" fontId="5" fillId="2" borderId="0" xfId="0" applyNumberFormat="1" applyFont="1" applyFill="1" applyProtection="1">
      <protection locked="0"/>
    </xf>
    <xf numFmtId="1" fontId="5" fillId="2" borderId="0" xfId="0" applyNumberFormat="1" applyFont="1" applyFill="1" applyProtection="1">
      <protection locked="0"/>
    </xf>
    <xf numFmtId="0" fontId="4" fillId="0" borderId="1" xfId="0" applyFont="1" applyBorder="1" applyAlignment="1">
      <alignment vertical="top" wrapText="1"/>
    </xf>
    <xf numFmtId="0" fontId="4" fillId="0" borderId="1" xfId="0" applyFont="1" applyBorder="1"/>
    <xf numFmtId="1" fontId="5" fillId="3" borderId="0" xfId="0" applyNumberFormat="1" applyFont="1" applyFill="1"/>
    <xf numFmtId="0" fontId="0" fillId="0" borderId="0" xfId="0" applyAlignment="1">
      <alignment vertical="top" wrapText="1"/>
    </xf>
    <xf numFmtId="0" fontId="0" fillId="2" borderId="0" xfId="0" applyFill="1" applyProtection="1">
      <protection locked="0"/>
    </xf>
    <xf numFmtId="0" fontId="7" fillId="0" borderId="0" xfId="0" applyFont="1"/>
    <xf numFmtId="0" fontId="4" fillId="0" borderId="0" xfId="0" applyFont="1" applyAlignment="1">
      <alignment vertical="top" wrapText="1"/>
    </xf>
    <xf numFmtId="0" fontId="5" fillId="0" borderId="0" xfId="0" applyFont="1" applyAlignment="1">
      <alignment vertical="top" wrapText="1"/>
    </xf>
    <xf numFmtId="0" fontId="5" fillId="2" borderId="0" xfId="0" applyFont="1" applyFill="1" applyAlignment="1" applyProtection="1">
      <alignment vertical="top" wrapText="1"/>
      <protection locked="0"/>
    </xf>
  </cellXfs>
  <cellStyles count="1">
    <cellStyle name="Bình thường"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abSelected="1" zoomScaleNormal="100" workbookViewId="0"/>
  </sheetViews>
  <sheetFormatPr defaultColWidth="8.6640625" defaultRowHeight="14.4" x14ac:dyDescent="0.3"/>
  <cols>
    <col min="1" max="1" width="120" customWidth="1"/>
  </cols>
  <sheetData>
    <row r="1" spans="1:1" ht="17.25" customHeight="1" x14ac:dyDescent="0.3">
      <c r="A1" s="1" t="s">
        <v>0</v>
      </c>
    </row>
    <row r="2" spans="1:1" ht="15" customHeight="1" x14ac:dyDescent="0.3">
      <c r="A2" s="2" t="s">
        <v>1</v>
      </c>
    </row>
    <row r="4" spans="1:1" ht="15" customHeight="1" x14ac:dyDescent="0.3">
      <c r="A4" t="s">
        <v>2</v>
      </c>
    </row>
    <row r="5" spans="1:1" ht="15" customHeight="1" x14ac:dyDescent="0.3">
      <c r="A5" t="s">
        <v>3</v>
      </c>
    </row>
    <row r="6" spans="1:1" ht="15" customHeight="1" x14ac:dyDescent="0.3">
      <c r="A6" t="s">
        <v>4</v>
      </c>
    </row>
    <row r="7" spans="1:1" ht="15" customHeight="1" x14ac:dyDescent="0.3">
      <c r="A7" t="s">
        <v>5</v>
      </c>
    </row>
    <row r="8" spans="1:1" ht="15" customHeight="1" x14ac:dyDescent="0.3">
      <c r="A8" t="s">
        <v>6</v>
      </c>
    </row>
    <row r="9" spans="1:1" ht="15" customHeight="1" x14ac:dyDescent="0.3">
      <c r="A9" t="s">
        <v>7</v>
      </c>
    </row>
    <row r="11" spans="1:1" ht="15" customHeight="1" x14ac:dyDescent="0.3">
      <c r="A11" t="s">
        <v>8</v>
      </c>
    </row>
    <row r="12" spans="1:1" ht="15" customHeight="1" x14ac:dyDescent="0.3">
      <c r="A12" s="3" t="s">
        <v>9</v>
      </c>
    </row>
    <row r="13" spans="1:1" ht="15" customHeight="1" x14ac:dyDescent="0.3">
      <c r="A13" s="4" t="s">
        <v>10</v>
      </c>
    </row>
  </sheetData>
  <sheetProtection sheet="1" formatColumns="0" formatRows="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Normal="100" workbookViewId="0"/>
  </sheetViews>
  <sheetFormatPr defaultColWidth="8.6640625" defaultRowHeight="14.4" x14ac:dyDescent="0.3"/>
  <cols>
    <col min="1" max="1" width="52" customWidth="1"/>
    <col min="2" max="2" width="14" customWidth="1"/>
    <col min="3" max="4" width="46" customWidth="1"/>
    <col min="5" max="5" width="36" customWidth="1"/>
  </cols>
  <sheetData>
    <row r="1" spans="1:5" ht="17.25" customHeight="1" x14ac:dyDescent="0.3">
      <c r="A1" s="1" t="s">
        <v>11</v>
      </c>
    </row>
    <row r="2" spans="1:5" ht="15" customHeight="1" x14ac:dyDescent="0.3">
      <c r="A2" s="2" t="s">
        <v>12</v>
      </c>
    </row>
    <row r="4" spans="1:5" ht="26.25" customHeight="1" x14ac:dyDescent="0.3">
      <c r="A4" s="5" t="s">
        <v>13</v>
      </c>
      <c r="B4" s="5" t="s">
        <v>14</v>
      </c>
      <c r="C4" s="5" t="s">
        <v>15</v>
      </c>
      <c r="D4" s="5" t="s">
        <v>16</v>
      </c>
      <c r="E4" s="5" t="s">
        <v>17</v>
      </c>
    </row>
    <row r="5" spans="1:5" ht="33.75" customHeight="1" x14ac:dyDescent="0.3">
      <c r="A5" s="6" t="s">
        <v>18</v>
      </c>
      <c r="B5" s="7" t="s">
        <v>19</v>
      </c>
      <c r="C5" s="6" t="s">
        <v>20</v>
      </c>
      <c r="D5" s="6" t="s">
        <v>21</v>
      </c>
      <c r="E5" s="7" t="s">
        <v>22</v>
      </c>
    </row>
    <row r="6" spans="1:5" ht="33.75" customHeight="1" x14ac:dyDescent="0.3">
      <c r="A6" s="6" t="s">
        <v>23</v>
      </c>
      <c r="B6" s="7" t="s">
        <v>19</v>
      </c>
      <c r="C6" s="6" t="s">
        <v>24</v>
      </c>
      <c r="D6" s="6" t="s">
        <v>25</v>
      </c>
      <c r="E6" s="7" t="s">
        <v>26</v>
      </c>
    </row>
    <row r="7" spans="1:5" ht="33.75" customHeight="1" x14ac:dyDescent="0.3">
      <c r="A7" s="6" t="s">
        <v>27</v>
      </c>
      <c r="B7" s="7" t="s">
        <v>19</v>
      </c>
      <c r="C7" s="6" t="s">
        <v>28</v>
      </c>
      <c r="D7" s="6" t="s">
        <v>29</v>
      </c>
      <c r="E7" s="7" t="s">
        <v>30</v>
      </c>
    </row>
    <row r="8" spans="1:5" ht="33.75" customHeight="1" x14ac:dyDescent="0.3">
      <c r="A8" s="6" t="s">
        <v>31</v>
      </c>
      <c r="B8" s="7" t="s">
        <v>19</v>
      </c>
      <c r="C8" s="6" t="s">
        <v>32</v>
      </c>
      <c r="D8" s="6" t="s">
        <v>33</v>
      </c>
      <c r="E8" s="7" t="s">
        <v>34</v>
      </c>
    </row>
    <row r="9" spans="1:5" ht="33.75" customHeight="1" x14ac:dyDescent="0.3">
      <c r="A9" s="6" t="s">
        <v>35</v>
      </c>
      <c r="B9" s="7" t="s">
        <v>19</v>
      </c>
      <c r="C9" s="6" t="s">
        <v>36</v>
      </c>
      <c r="D9" s="6" t="s">
        <v>37</v>
      </c>
      <c r="E9" s="7" t="s">
        <v>38</v>
      </c>
    </row>
    <row r="10" spans="1:5" ht="33.75" customHeight="1" x14ac:dyDescent="0.3">
      <c r="A10" s="6" t="s">
        <v>39</v>
      </c>
      <c r="B10" s="7" t="s">
        <v>19</v>
      </c>
      <c r="C10" s="6" t="s">
        <v>40</v>
      </c>
      <c r="D10" s="6" t="s">
        <v>41</v>
      </c>
      <c r="E10" s="7" t="s">
        <v>42</v>
      </c>
    </row>
    <row r="12" spans="1:5" ht="15" customHeight="1" x14ac:dyDescent="0.3">
      <c r="A12" s="8" t="s">
        <v>43</v>
      </c>
      <c r="B12" s="4">
        <f>COUNTIF(B5:B10,"Có")</f>
        <v>6</v>
      </c>
    </row>
    <row r="13" spans="1:5" ht="15" customHeight="1" x14ac:dyDescent="0.3">
      <c r="A13" s="2" t="s">
        <v>44</v>
      </c>
    </row>
  </sheetData>
  <sheetProtection sheet="1" formatColumns="0" formatRows="0"/>
  <dataValidations count="1">
    <dataValidation type="list" allowBlank="1" sqref="B5:B10" xr:uid="{00000000-0002-0000-0100-000000000000}">
      <formula1>"Có,Chưa"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4"/>
  <sheetViews>
    <sheetView zoomScaleNormal="100" workbookViewId="0"/>
  </sheetViews>
  <sheetFormatPr defaultColWidth="8.6640625" defaultRowHeight="14.4" x14ac:dyDescent="0.3"/>
  <cols>
    <col min="1" max="1" width="4" customWidth="1"/>
    <col min="2" max="2" width="30" customWidth="1"/>
    <col min="3" max="3" width="28" customWidth="1"/>
    <col min="4" max="4" width="38" customWidth="1"/>
    <col min="5" max="5" width="32" customWidth="1"/>
    <col min="6" max="7" width="8" customWidth="1"/>
    <col min="8" max="8" width="11" customWidth="1"/>
    <col min="9" max="9" width="8" customWidth="1"/>
    <col min="10" max="10" width="11" customWidth="1"/>
    <col min="11" max="11" width="10" customWidth="1"/>
    <col min="12" max="12" width="13" customWidth="1"/>
    <col min="13" max="14" width="10" customWidth="1"/>
    <col min="15" max="15" width="12" customWidth="1"/>
    <col min="16" max="16" width="14" customWidth="1"/>
    <col min="17" max="17" width="58" customWidth="1"/>
  </cols>
  <sheetData>
    <row r="1" spans="1:17" ht="17.25" customHeight="1" x14ac:dyDescent="0.3">
      <c r="A1" s="1" t="s">
        <v>45</v>
      </c>
    </row>
    <row r="2" spans="1:17" ht="15" customHeight="1" x14ac:dyDescent="0.3">
      <c r="A2" s="2" t="s">
        <v>46</v>
      </c>
    </row>
    <row r="4" spans="1:17" ht="39" customHeight="1" x14ac:dyDescent="0.3">
      <c r="A4" s="9" t="s">
        <v>47</v>
      </c>
      <c r="B4" s="9" t="s">
        <v>48</v>
      </c>
      <c r="C4" s="9" t="s">
        <v>49</v>
      </c>
      <c r="D4" s="9" t="s">
        <v>50</v>
      </c>
      <c r="E4" s="9" t="s">
        <v>51</v>
      </c>
      <c r="F4" s="9" t="s">
        <v>52</v>
      </c>
      <c r="G4" s="9" t="s">
        <v>53</v>
      </c>
      <c r="H4" s="9" t="s">
        <v>54</v>
      </c>
      <c r="I4" s="9" t="s">
        <v>55</v>
      </c>
      <c r="J4" s="9" t="s">
        <v>56</v>
      </c>
      <c r="K4" s="9" t="s">
        <v>57</v>
      </c>
      <c r="L4" s="9" t="s">
        <v>58</v>
      </c>
      <c r="M4" s="9" t="s">
        <v>59</v>
      </c>
      <c r="N4" s="9" t="s">
        <v>60</v>
      </c>
      <c r="O4" s="9" t="s">
        <v>61</v>
      </c>
      <c r="P4" s="9" t="s">
        <v>62</v>
      </c>
      <c r="Q4" s="9" t="s">
        <v>63</v>
      </c>
    </row>
    <row r="5" spans="1:17" ht="150" customHeight="1" x14ac:dyDescent="0.3">
      <c r="A5" s="10">
        <v>1</v>
      </c>
      <c r="B5" s="7" t="s">
        <v>64</v>
      </c>
      <c r="C5" s="7" t="s">
        <v>65</v>
      </c>
      <c r="D5" s="7" t="s">
        <v>66</v>
      </c>
      <c r="E5" s="7" t="s">
        <v>67</v>
      </c>
      <c r="F5" s="7">
        <v>3</v>
      </c>
      <c r="G5" s="7">
        <v>4</v>
      </c>
      <c r="H5" s="7">
        <v>0.8</v>
      </c>
      <c r="I5" s="7">
        <v>2</v>
      </c>
      <c r="J5" s="7">
        <v>0.8</v>
      </c>
      <c r="K5" s="7">
        <v>0.9</v>
      </c>
      <c r="L5" s="7">
        <v>0.3</v>
      </c>
      <c r="M5" s="11">
        <f t="shared" ref="M5:M14" si="0">IF(COUNT(F5:L5)&lt;7,"",ROUND(F5*G5*H5/I5*(0.5+0.5*AVERAGE(J5:K5))*(1-0.5*L5),2))</f>
        <v>3.77</v>
      </c>
      <c r="N5" s="11">
        <f t="shared" ref="N5:N14" si="1">IF(M5="","",RANK(M5,$M$5:$M$14))</f>
        <v>5</v>
      </c>
      <c r="O5" s="12" t="str">
        <f>IF(B5="","",IF(OR(D5="",E5=""),"Thiếu",IF(SUMPRODUCT(--ISNUMBER(SEARCH({"0","1","2","3","4","5","6","7","8","9"},E5)))&gt;0,"Có","Thiếu")))</f>
        <v>Có</v>
      </c>
      <c r="P5" s="13" t="s">
        <v>68</v>
      </c>
      <c r="Q5" s="31" t="s">
        <v>69</v>
      </c>
    </row>
    <row r="6" spans="1:17" ht="150" customHeight="1" x14ac:dyDescent="0.3">
      <c r="A6" s="10">
        <v>2</v>
      </c>
      <c r="B6" s="7" t="s">
        <v>70</v>
      </c>
      <c r="C6" s="7" t="s">
        <v>71</v>
      </c>
      <c r="D6" s="7" t="s">
        <v>72</v>
      </c>
      <c r="E6" s="7" t="s">
        <v>73</v>
      </c>
      <c r="F6" s="7">
        <v>5</v>
      </c>
      <c r="G6" s="7">
        <v>5</v>
      </c>
      <c r="H6" s="7">
        <v>0.8</v>
      </c>
      <c r="I6" s="7">
        <v>2</v>
      </c>
      <c r="J6" s="7">
        <v>0.7</v>
      </c>
      <c r="K6" s="7">
        <v>0.8</v>
      </c>
      <c r="L6" s="7">
        <v>0.2</v>
      </c>
      <c r="M6" s="11">
        <f t="shared" si="0"/>
        <v>7.88</v>
      </c>
      <c r="N6" s="11">
        <f t="shared" si="1"/>
        <v>2</v>
      </c>
      <c r="O6" s="12" t="str">
        <f>IF(B6="","",IF(OR(D6="",E6=""),"Thiếu",IF(SUMPRODUCT(--ISNUMBER(SEARCH({"0","1","2","3","4","5","6","7","8","9"},E6)))&gt;0,"Có","Thiếu")))</f>
        <v>Có</v>
      </c>
      <c r="P6" s="13" t="s">
        <v>68</v>
      </c>
      <c r="Q6" s="31" t="s">
        <v>74</v>
      </c>
    </row>
    <row r="7" spans="1:17" ht="150" customHeight="1" x14ac:dyDescent="0.3">
      <c r="A7" s="10">
        <v>3</v>
      </c>
      <c r="B7" s="7" t="s">
        <v>75</v>
      </c>
      <c r="C7" s="7" t="s">
        <v>76</v>
      </c>
      <c r="D7" s="7" t="s">
        <v>77</v>
      </c>
      <c r="E7" s="7" t="s">
        <v>78</v>
      </c>
      <c r="F7" s="7">
        <v>5</v>
      </c>
      <c r="G7" s="7">
        <v>2</v>
      </c>
      <c r="H7" s="7">
        <v>1</v>
      </c>
      <c r="I7" s="7">
        <v>1</v>
      </c>
      <c r="J7" s="7">
        <v>1</v>
      </c>
      <c r="K7" s="7">
        <v>0.9</v>
      </c>
      <c r="L7" s="7">
        <v>1</v>
      </c>
      <c r="M7" s="11">
        <f t="shared" si="0"/>
        <v>4.88</v>
      </c>
      <c r="N7" s="11">
        <f t="shared" si="1"/>
        <v>4</v>
      </c>
      <c r="O7" s="12" t="str">
        <f>IF(B7="","",IF(OR(D7="",E7=""),"Thiếu",IF(SUMPRODUCT(--ISNUMBER(SEARCH({"0","1","2","3","4","5","6","7","8","9"},E7)))&gt;0,"Có","Thiếu")))</f>
        <v>Có</v>
      </c>
      <c r="P7" s="13" t="s">
        <v>79</v>
      </c>
      <c r="Q7" s="31" t="s">
        <v>80</v>
      </c>
    </row>
    <row r="8" spans="1:17" ht="150" customHeight="1" x14ac:dyDescent="0.3">
      <c r="A8" s="10">
        <v>4</v>
      </c>
      <c r="B8" s="7" t="s">
        <v>81</v>
      </c>
      <c r="C8" s="7" t="s">
        <v>82</v>
      </c>
      <c r="D8" s="7" t="s">
        <v>83</v>
      </c>
      <c r="E8" s="7" t="s">
        <v>84</v>
      </c>
      <c r="F8" s="7">
        <v>5</v>
      </c>
      <c r="G8" s="7">
        <v>4</v>
      </c>
      <c r="H8" s="7">
        <v>1</v>
      </c>
      <c r="I8" s="7">
        <v>1</v>
      </c>
      <c r="J8" s="7">
        <v>1</v>
      </c>
      <c r="K8" s="7">
        <v>1</v>
      </c>
      <c r="L8" s="7">
        <v>0.5</v>
      </c>
      <c r="M8" s="11">
        <f t="shared" si="0"/>
        <v>15</v>
      </c>
      <c r="N8" s="11">
        <f t="shared" si="1"/>
        <v>1</v>
      </c>
      <c r="O8" s="12" t="str">
        <f>IF(B8="","",IF(OR(D8="",E8=""),"Thiếu",IF(SUMPRODUCT(--ISNUMBER(SEARCH({"0","1","2","3","4","5","6","7","8","9"},E8)))&gt;0,"Có","Thiếu")))</f>
        <v>Có</v>
      </c>
      <c r="P8" s="13" t="s">
        <v>79</v>
      </c>
      <c r="Q8" s="31" t="s">
        <v>85</v>
      </c>
    </row>
    <row r="9" spans="1:17" ht="150" customHeight="1" x14ac:dyDescent="0.3">
      <c r="A9" s="10">
        <v>5</v>
      </c>
      <c r="B9" s="7" t="s">
        <v>86</v>
      </c>
      <c r="C9" s="7" t="s">
        <v>87</v>
      </c>
      <c r="D9" s="7" t="s">
        <v>88</v>
      </c>
      <c r="E9" s="7" t="s">
        <v>89</v>
      </c>
      <c r="F9" s="7">
        <v>5</v>
      </c>
      <c r="G9" s="7">
        <v>4</v>
      </c>
      <c r="H9" s="7">
        <v>0.5</v>
      </c>
      <c r="I9" s="7">
        <v>4</v>
      </c>
      <c r="J9" s="7">
        <v>0.1</v>
      </c>
      <c r="K9" s="7">
        <v>0.3</v>
      </c>
      <c r="L9" s="7">
        <v>0.4</v>
      </c>
      <c r="M9" s="11">
        <f t="shared" si="0"/>
        <v>1.2</v>
      </c>
      <c r="N9" s="11">
        <f t="shared" si="1"/>
        <v>6</v>
      </c>
      <c r="O9" s="12" t="str">
        <f>IF(B9="","",IF(OR(D9="",E9=""),"Thiếu",IF(SUMPRODUCT(--ISNUMBER(SEARCH({"0","1","2","3","4","5","6","7","8","9"},E9)))&gt;0,"Có","Thiếu")))</f>
        <v>Có</v>
      </c>
      <c r="P9" s="13" t="s">
        <v>90</v>
      </c>
      <c r="Q9" s="31" t="s">
        <v>91</v>
      </c>
    </row>
    <row r="10" spans="1:17" ht="150" customHeight="1" x14ac:dyDescent="0.3">
      <c r="A10" s="10">
        <v>6</v>
      </c>
      <c r="B10" s="7" t="s">
        <v>92</v>
      </c>
      <c r="C10" s="7" t="s">
        <v>93</v>
      </c>
      <c r="D10" s="7" t="s">
        <v>94</v>
      </c>
      <c r="E10" s="7" t="s">
        <v>95</v>
      </c>
      <c r="F10" s="7">
        <v>2</v>
      </c>
      <c r="G10" s="7">
        <v>2</v>
      </c>
      <c r="H10" s="7">
        <v>0.5</v>
      </c>
      <c r="I10" s="7">
        <v>3</v>
      </c>
      <c r="J10" s="7">
        <v>0.3</v>
      </c>
      <c r="K10" s="7">
        <v>0.2</v>
      </c>
      <c r="L10" s="7">
        <v>0.9</v>
      </c>
      <c r="M10" s="11">
        <f t="shared" si="0"/>
        <v>0.23</v>
      </c>
      <c r="N10" s="11">
        <f t="shared" si="1"/>
        <v>7</v>
      </c>
      <c r="O10" s="12" t="str">
        <f>IF(B10="","",IF(OR(D10="",E10=""),"Thiếu",IF(SUMPRODUCT(--ISNUMBER(SEARCH({"0","1","2","3","4","5","6","7","8","9"},E10)))&gt;0,"Có","Thiếu")))</f>
        <v>Có</v>
      </c>
      <c r="P10" s="13" t="s">
        <v>96</v>
      </c>
      <c r="Q10" s="31" t="s">
        <v>97</v>
      </c>
    </row>
    <row r="11" spans="1:17" ht="150" customHeight="1" x14ac:dyDescent="0.3">
      <c r="A11" s="10">
        <v>7</v>
      </c>
      <c r="B11" s="7" t="s">
        <v>98</v>
      </c>
      <c r="C11" s="7" t="s">
        <v>99</v>
      </c>
      <c r="D11" s="7" t="s">
        <v>100</v>
      </c>
      <c r="E11" s="7" t="s">
        <v>101</v>
      </c>
      <c r="F11" s="7">
        <v>5</v>
      </c>
      <c r="G11" s="7">
        <v>4</v>
      </c>
      <c r="H11" s="7">
        <v>0.8</v>
      </c>
      <c r="I11" s="7">
        <v>2</v>
      </c>
      <c r="J11" s="7">
        <v>0.9</v>
      </c>
      <c r="K11" s="7">
        <v>1</v>
      </c>
      <c r="L11" s="7">
        <v>0.3</v>
      </c>
      <c r="M11" s="11">
        <f t="shared" si="0"/>
        <v>6.63</v>
      </c>
      <c r="N11" s="11">
        <f t="shared" si="1"/>
        <v>3</v>
      </c>
      <c r="O11" s="12" t="str">
        <f>IF(B11="","",IF(OR(D11="",E11=""),"Thiếu",IF(SUMPRODUCT(--ISNUMBER(SEARCH({"0","1","2","3","4","5","6","7","8","9"},E11)))&gt;0,"Có","Thiếu")))</f>
        <v>Có</v>
      </c>
      <c r="P11" s="13" t="s">
        <v>68</v>
      </c>
      <c r="Q11" s="31" t="s">
        <v>102</v>
      </c>
    </row>
    <row r="12" spans="1:17" ht="15" customHeight="1" x14ac:dyDescent="0.3">
      <c r="A12" s="10">
        <v>8</v>
      </c>
      <c r="B12" s="7"/>
      <c r="C12" s="7"/>
      <c r="D12" s="7"/>
      <c r="E12" s="7"/>
      <c r="F12" s="7"/>
      <c r="G12" s="7"/>
      <c r="H12" s="7"/>
      <c r="I12" s="7"/>
      <c r="J12" s="7"/>
      <c r="K12" s="7"/>
      <c r="L12" s="7"/>
      <c r="M12" s="11" t="str">
        <f t="shared" si="0"/>
        <v/>
      </c>
      <c r="N12" s="11" t="str">
        <f t="shared" si="1"/>
        <v/>
      </c>
      <c r="O12" s="12" t="str">
        <f>IF(B12="","",IF(OR(D12="",E12=""),"Thiếu",IF(SUMPRODUCT(--ISNUMBER(SEARCH({"0","1","2","3","4","5","6","7","8","9"},E12)))&gt;0,"Có","Thiếu")))</f>
        <v/>
      </c>
      <c r="P12" s="13"/>
      <c r="Q12" s="13"/>
    </row>
    <row r="13" spans="1:17" ht="15" customHeight="1" x14ac:dyDescent="0.3">
      <c r="A13" s="10">
        <v>9</v>
      </c>
      <c r="B13" s="7"/>
      <c r="C13" s="7"/>
      <c r="D13" s="7"/>
      <c r="E13" s="7"/>
      <c r="F13" s="7"/>
      <c r="G13" s="7"/>
      <c r="H13" s="7"/>
      <c r="I13" s="7"/>
      <c r="J13" s="7"/>
      <c r="K13" s="7"/>
      <c r="L13" s="7"/>
      <c r="M13" s="11" t="str">
        <f t="shared" si="0"/>
        <v/>
      </c>
      <c r="N13" s="11" t="str">
        <f t="shared" si="1"/>
        <v/>
      </c>
      <c r="O13" s="12" t="str">
        <f>IF(B13="","",IF(OR(D13="",E13=""),"Thiếu",IF(SUMPRODUCT(--ISNUMBER(SEARCH({"0","1","2","3","4","5","6","7","8","9"},E13)))&gt;0,"Có","Thiếu")))</f>
        <v/>
      </c>
      <c r="P13" s="13"/>
      <c r="Q13" s="13"/>
    </row>
    <row r="14" spans="1:17" ht="15" customHeight="1" x14ac:dyDescent="0.3">
      <c r="A14" s="10">
        <v>10</v>
      </c>
      <c r="B14" s="7"/>
      <c r="C14" s="7"/>
      <c r="D14" s="7"/>
      <c r="E14" s="7"/>
      <c r="F14" s="7"/>
      <c r="G14" s="7"/>
      <c r="H14" s="7"/>
      <c r="I14" s="7"/>
      <c r="J14" s="7"/>
      <c r="K14" s="7"/>
      <c r="L14" s="7"/>
      <c r="M14" s="11" t="str">
        <f t="shared" si="0"/>
        <v/>
      </c>
      <c r="N14" s="11" t="str">
        <f t="shared" si="1"/>
        <v/>
      </c>
      <c r="O14" s="12" t="str">
        <f>IF(B14="","",IF(OR(D14="",E14=""),"Thiếu",IF(SUMPRODUCT(--ISNUMBER(SEARCH({"0","1","2","3","4","5","6","7","8","9"},E14)))&gt;0,"Có","Thiếu")))</f>
        <v/>
      </c>
      <c r="P14" s="13"/>
      <c r="Q14" s="13"/>
    </row>
  </sheetData>
  <sheetProtection sheet="1" formatColumns="0" formatRows="0"/>
  <dataValidations count="4">
    <dataValidation type="whole" allowBlank="1" showErrorMessage="1" errorTitle="Ngoài thang điểm" error="Nhập số nguyên từ 1 đến 5." sqref="F5:G14 I5:I14" xr:uid="{00000000-0002-0000-0200-000000000000}">
      <formula1>1</formula1>
      <formula2>5</formula2>
    </dataValidation>
    <dataValidation type="decimal" allowBlank="1" showErrorMessage="1" errorTitle="Mức tự tin" error="Dùng 0,5 (đoán), 0,8 (có dấu hiệu) hoặc 1 (có số liệu)." sqref="H5:H14" xr:uid="{00000000-0002-0000-0200-000001000000}">
      <formula1>0.5</formula1>
      <formula2>1</formula2>
    </dataValidation>
    <dataValidation type="decimal" allowBlank="1" showErrorMessage="1" errorTitle="Ngoài thang 0–1" error="Nhập số từ 0 đến 1, ví dụ 0,6." sqref="J5:L14" xr:uid="{00000000-0002-0000-0200-000002000000}">
      <formula1>0</formula1>
      <formula2>1</formula2>
    </dataValidation>
    <dataValidation type="list" allowBlank="1" sqref="P5:P14" xr:uid="{00000000-0002-0000-0200-000003000000}">
      <formula1>"Tự làm,Mua,Chờ,Không làm"</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3"/>
  <sheetViews>
    <sheetView zoomScaleNormal="100" workbookViewId="0"/>
  </sheetViews>
  <sheetFormatPr defaultColWidth="8.6640625" defaultRowHeight="14.4" x14ac:dyDescent="0.3"/>
  <cols>
    <col min="1" max="1" width="6" customWidth="1"/>
    <col min="2" max="2" width="20" customWidth="1"/>
    <col min="3" max="3" width="34" customWidth="1"/>
    <col min="4" max="4" width="30" customWidth="1"/>
    <col min="5" max="5" width="44" customWidth="1"/>
    <col min="6" max="6" width="36" customWidth="1"/>
    <col min="7" max="8" width="12" customWidth="1"/>
    <col min="9" max="9" width="18" customWidth="1"/>
    <col min="10" max="10" width="14" customWidth="1"/>
    <col min="11" max="11" width="12" customWidth="1"/>
    <col min="12" max="12" width="13" customWidth="1"/>
    <col min="13" max="13" width="11" customWidth="1"/>
  </cols>
  <sheetData>
    <row r="1" spans="1:13" ht="17.25" customHeight="1" x14ac:dyDescent="0.3">
      <c r="A1" s="1" t="s">
        <v>103</v>
      </c>
    </row>
    <row r="2" spans="1:13" ht="15" customHeight="1" x14ac:dyDescent="0.3">
      <c r="A2" s="2" t="s">
        <v>104</v>
      </c>
    </row>
    <row r="4" spans="1:13" ht="26.25" customHeight="1" x14ac:dyDescent="0.3">
      <c r="A4" s="9" t="s">
        <v>105</v>
      </c>
      <c r="B4" s="9" t="s">
        <v>106</v>
      </c>
      <c r="C4" s="9" t="s">
        <v>107</v>
      </c>
      <c r="D4" s="9" t="s">
        <v>108</v>
      </c>
      <c r="E4" s="9" t="s">
        <v>109</v>
      </c>
      <c r="F4" s="9" t="s">
        <v>110</v>
      </c>
      <c r="G4" s="9" t="s">
        <v>111</v>
      </c>
      <c r="H4" s="9" t="s">
        <v>112</v>
      </c>
      <c r="I4" s="9" t="s">
        <v>113</v>
      </c>
      <c r="J4" s="9" t="s">
        <v>114</v>
      </c>
      <c r="K4" s="9" t="s">
        <v>115</v>
      </c>
      <c r="L4" s="9" t="s">
        <v>116</v>
      </c>
      <c r="M4" s="9" t="s">
        <v>117</v>
      </c>
    </row>
    <row r="5" spans="1:13" ht="135" customHeight="1" x14ac:dyDescent="0.3">
      <c r="A5" s="10">
        <v>0</v>
      </c>
      <c r="B5" s="7" t="s">
        <v>118</v>
      </c>
      <c r="C5" s="7" t="s">
        <v>119</v>
      </c>
      <c r="D5" s="7" t="s">
        <v>120</v>
      </c>
      <c r="E5" s="7" t="s">
        <v>121</v>
      </c>
      <c r="F5" s="7" t="s">
        <v>122</v>
      </c>
      <c r="G5" s="7" t="s">
        <v>123</v>
      </c>
      <c r="H5" s="14">
        <v>1</v>
      </c>
      <c r="I5" s="13" t="s">
        <v>124</v>
      </c>
      <c r="J5" s="15">
        <f>IF(H5="","",$B$12+$B$13+IF(I5="Người của mình",H5*$B$14*$B$15/60,0))</f>
        <v>1704</v>
      </c>
      <c r="K5" s="16">
        <f>IF(J5="","",IFERROR(($B$16-$B$17*J5)/$B$16,""))</f>
        <v>0.24457430730478588</v>
      </c>
      <c r="L5" s="17" t="str">
        <f>IF(K5="","",IF(K5&gt;=0.6,"Đạt","Dưới ngưỡng"))</f>
        <v>Dưới ngưỡng</v>
      </c>
    </row>
    <row r="6" spans="1:13" ht="135" customHeight="1" x14ac:dyDescent="0.3">
      <c r="A6" s="10">
        <v>1</v>
      </c>
      <c r="B6" s="7" t="s">
        <v>125</v>
      </c>
      <c r="C6" s="7" t="s">
        <v>126</v>
      </c>
      <c r="D6" s="7" t="s">
        <v>127</v>
      </c>
      <c r="E6" s="7" t="s">
        <v>128</v>
      </c>
      <c r="F6" s="7" t="s">
        <v>129</v>
      </c>
      <c r="G6" s="7" t="s">
        <v>130</v>
      </c>
      <c r="H6" s="14">
        <v>0.2</v>
      </c>
      <c r="I6" s="13" t="s">
        <v>124</v>
      </c>
      <c r="J6" s="15">
        <f>IF(H6="","",$B$12+$B$13+IF(I6="Người của mình",H6*$B$14*$B$15/60,0))</f>
        <v>704</v>
      </c>
      <c r="K6" s="16">
        <f>IF(J6="","",IFERROR(($B$16-$B$17*J6)/$B$16,""))</f>
        <v>0.68789924433249372</v>
      </c>
      <c r="L6" s="17" t="str">
        <f>IF(K6="","",IF(K6&gt;=0.6,"Đạt","Dưới ngưỡng"))</f>
        <v>Đạt</v>
      </c>
      <c r="M6" s="17" t="str">
        <f>IF(E6="","",IF(SUMPRODUCT(--ISNUMBER(SEARCH({"0","1","2","3","4","5","6","7","8","9"},E6)))&gt;0,"Có","Thiếu"))</f>
        <v>Có</v>
      </c>
    </row>
    <row r="7" spans="1:13" ht="135" customHeight="1" x14ac:dyDescent="0.3">
      <c r="A7" s="10">
        <v>2</v>
      </c>
      <c r="B7" s="7" t="s">
        <v>131</v>
      </c>
      <c r="C7" s="7" t="s">
        <v>132</v>
      </c>
      <c r="D7" s="7" t="s">
        <v>133</v>
      </c>
      <c r="E7" s="7" t="s">
        <v>134</v>
      </c>
      <c r="F7" s="7" t="s">
        <v>135</v>
      </c>
      <c r="G7" s="7" t="s">
        <v>136</v>
      </c>
      <c r="H7" s="14">
        <v>0.1</v>
      </c>
      <c r="I7" s="13" t="s">
        <v>124</v>
      </c>
      <c r="J7" s="15">
        <f>IF(H7="","",$B$12+$B$13+IF(I7="Người của mình",H7*$B$14*$B$15/60,0))</f>
        <v>579</v>
      </c>
      <c r="K7" s="16">
        <f>IF(J7="","",IFERROR(($B$16-$B$17*J7)/$B$16,""))</f>
        <v>0.74331486146095715</v>
      </c>
      <c r="L7" s="17" t="str">
        <f>IF(K7="","",IF(K7&gt;=0.6,"Đạt","Dưới ngưỡng"))</f>
        <v>Đạt</v>
      </c>
      <c r="M7" s="17" t="str">
        <f>IF(E7="","",IF(SUMPRODUCT(--ISNUMBER(SEARCH({"0","1","2","3","4","5","6","7","8","9"},E7)))&gt;0,"Có","Thiếu"))</f>
        <v>Có</v>
      </c>
    </row>
    <row r="8" spans="1:13" ht="135" customHeight="1" x14ac:dyDescent="0.3">
      <c r="A8" s="10">
        <v>3</v>
      </c>
      <c r="B8" s="7" t="s">
        <v>137</v>
      </c>
      <c r="C8" s="7" t="s">
        <v>138</v>
      </c>
      <c r="D8" s="7" t="s">
        <v>139</v>
      </c>
      <c r="E8" s="7" t="s">
        <v>140</v>
      </c>
      <c r="F8" s="7" t="s">
        <v>141</v>
      </c>
      <c r="G8" s="7" t="s">
        <v>142</v>
      </c>
      <c r="H8" s="14">
        <v>0.05</v>
      </c>
      <c r="I8" s="13" t="s">
        <v>124</v>
      </c>
      <c r="J8" s="15">
        <f>IF(H8="","",$B$12+$B$13+IF(I8="Người của mình",H8*$B$14*$B$15/60,0))</f>
        <v>516.5</v>
      </c>
      <c r="K8" s="16">
        <f>IF(J8="","",IFERROR(($B$16-$B$17*J8)/$B$16,""))</f>
        <v>0.77102267002518887</v>
      </c>
      <c r="L8" s="17" t="str">
        <f>IF(K8="","",IF(K8&gt;=0.6,"Đạt","Dưới ngưỡng"))</f>
        <v>Đạt</v>
      </c>
      <c r="M8" s="17" t="str">
        <f>IF(E8="","",IF(SUMPRODUCT(--ISNUMBER(SEARCH({"0","1","2","3","4","5","6","7","8","9"},E8)))&gt;0,"Có","Thiếu"))</f>
        <v>Có</v>
      </c>
    </row>
    <row r="11" spans="1:13" ht="15" customHeight="1" x14ac:dyDescent="0.3">
      <c r="A11" s="8" t="s">
        <v>143</v>
      </c>
    </row>
    <row r="12" spans="1:13" ht="15" customHeight="1" x14ac:dyDescent="0.3">
      <c r="A12" s="18" t="s">
        <v>144</v>
      </c>
      <c r="B12" s="19">
        <v>254</v>
      </c>
      <c r="C12" s="20" t="s">
        <v>145</v>
      </c>
    </row>
    <row r="13" spans="1:13" ht="15" customHeight="1" x14ac:dyDescent="0.3">
      <c r="A13" s="18" t="s">
        <v>146</v>
      </c>
      <c r="B13" s="19">
        <v>200</v>
      </c>
      <c r="C13" s="20" t="s">
        <v>147</v>
      </c>
    </row>
    <row r="14" spans="1:13" ht="15" customHeight="1" x14ac:dyDescent="0.3">
      <c r="A14" s="18" t="s">
        <v>148</v>
      </c>
      <c r="B14" s="21">
        <v>1.5</v>
      </c>
      <c r="C14" s="20" t="s">
        <v>149</v>
      </c>
    </row>
    <row r="15" spans="1:13" ht="15" customHeight="1" x14ac:dyDescent="0.3">
      <c r="A15" s="18" t="s">
        <v>150</v>
      </c>
      <c r="B15" s="19">
        <v>50000</v>
      </c>
      <c r="C15" s="20" t="s">
        <v>151</v>
      </c>
    </row>
    <row r="16" spans="1:13" ht="15" customHeight="1" x14ac:dyDescent="0.3">
      <c r="A16" s="18" t="s">
        <v>152</v>
      </c>
      <c r="B16" s="19">
        <v>3970000</v>
      </c>
      <c r="C16" s="20" t="s">
        <v>153</v>
      </c>
    </row>
    <row r="17" spans="1:3" ht="15" customHeight="1" x14ac:dyDescent="0.3">
      <c r="A17" s="18" t="s">
        <v>154</v>
      </c>
      <c r="B17" s="19">
        <v>1760</v>
      </c>
      <c r="C17" s="20" t="s">
        <v>155</v>
      </c>
    </row>
    <row r="18" spans="1:3" ht="15" customHeight="1" x14ac:dyDescent="0.3">
      <c r="A18" s="18" t="s">
        <v>156</v>
      </c>
      <c r="B18" s="13" t="s">
        <v>157</v>
      </c>
      <c r="C18" s="20" t="s">
        <v>158</v>
      </c>
    </row>
    <row r="19" spans="1:3" ht="15" customHeight="1" x14ac:dyDescent="0.3">
      <c r="A19" s="18" t="s">
        <v>159</v>
      </c>
      <c r="B19" s="13" t="s">
        <v>160</v>
      </c>
      <c r="C19" s="20" t="s">
        <v>161</v>
      </c>
    </row>
    <row r="20" spans="1:3" ht="15" customHeight="1" x14ac:dyDescent="0.3">
      <c r="A20" s="18" t="s">
        <v>162</v>
      </c>
      <c r="B20" s="22">
        <v>7</v>
      </c>
      <c r="C20" s="20" t="s">
        <v>163</v>
      </c>
    </row>
    <row r="22" spans="1:3" ht="15" customHeight="1" x14ac:dyDescent="0.3">
      <c r="A22" s="20" t="s">
        <v>164</v>
      </c>
    </row>
    <row r="23" spans="1:3" ht="15" customHeight="1" x14ac:dyDescent="0.3">
      <c r="A23" s="20"/>
    </row>
  </sheetData>
  <sheetProtection sheet="1" formatColumns="0" formatRows="0"/>
  <dataValidations count="2">
    <dataValidation type="list" allowBlank="1" sqref="I5:I8" xr:uid="{00000000-0002-0000-0300-000000000000}">
      <formula1>"Người của mình,Nhân viên cửa hàng"</formula1>
      <formula2>0</formula2>
    </dataValidation>
    <dataValidation type="decimal" allowBlank="1" sqref="H5:H8" xr:uid="{00000000-0002-0000-0300-000001000000}">
      <formula1>0</formula1>
      <formula2>1</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
  <sheetViews>
    <sheetView zoomScaleNormal="100" workbookViewId="0"/>
  </sheetViews>
  <sheetFormatPr defaultColWidth="8.6640625" defaultRowHeight="14.4" x14ac:dyDescent="0.3"/>
  <cols>
    <col min="1" max="1" width="30" customWidth="1"/>
    <col min="2" max="4" width="42" customWidth="1"/>
  </cols>
  <sheetData>
    <row r="1" spans="1:4" ht="17.25" customHeight="1" x14ac:dyDescent="0.3">
      <c r="A1" s="1" t="s">
        <v>165</v>
      </c>
    </row>
    <row r="2" spans="1:4" ht="15" customHeight="1" x14ac:dyDescent="0.3">
      <c r="A2" s="2" t="s">
        <v>166</v>
      </c>
    </row>
    <row r="4" spans="1:4" ht="15" customHeight="1" x14ac:dyDescent="0.3">
      <c r="A4" s="9" t="s">
        <v>167</v>
      </c>
      <c r="B4" s="9" t="s">
        <v>168</v>
      </c>
      <c r="C4" s="9" t="s">
        <v>169</v>
      </c>
      <c r="D4" s="9" t="s">
        <v>170</v>
      </c>
    </row>
    <row r="5" spans="1:4" ht="120" customHeight="1" x14ac:dyDescent="0.3">
      <c r="A5" s="23" t="s">
        <v>171</v>
      </c>
      <c r="B5" s="7" t="s">
        <v>172</v>
      </c>
      <c r="C5" s="7" t="s">
        <v>173</v>
      </c>
      <c r="D5" s="7" t="s">
        <v>174</v>
      </c>
    </row>
    <row r="6" spans="1:4" ht="120" customHeight="1" x14ac:dyDescent="0.3">
      <c r="A6" s="23" t="s">
        <v>175</v>
      </c>
      <c r="B6" s="7" t="s">
        <v>176</v>
      </c>
      <c r="C6" s="7" t="s">
        <v>177</v>
      </c>
      <c r="D6" s="7" t="s">
        <v>178</v>
      </c>
    </row>
    <row r="7" spans="1:4" ht="120" customHeight="1" x14ac:dyDescent="0.3">
      <c r="A7" s="23" t="s">
        <v>51</v>
      </c>
      <c r="B7" s="7" t="s">
        <v>179</v>
      </c>
      <c r="C7" s="7" t="s">
        <v>180</v>
      </c>
      <c r="D7" s="7" t="s">
        <v>181</v>
      </c>
    </row>
    <row r="8" spans="1:4" ht="120" customHeight="1" x14ac:dyDescent="0.3">
      <c r="A8" s="23" t="s">
        <v>182</v>
      </c>
      <c r="B8" s="7" t="s">
        <v>183</v>
      </c>
      <c r="C8" s="7" t="s">
        <v>184</v>
      </c>
      <c r="D8" s="7" t="s">
        <v>185</v>
      </c>
    </row>
    <row r="9" spans="1:4" ht="120" customHeight="1" x14ac:dyDescent="0.3">
      <c r="A9" s="23" t="s">
        <v>186</v>
      </c>
      <c r="B9" s="7" t="s">
        <v>187</v>
      </c>
      <c r="C9" s="7" t="s">
        <v>188</v>
      </c>
      <c r="D9" s="7" t="s">
        <v>189</v>
      </c>
    </row>
    <row r="10" spans="1:4" ht="120" customHeight="1" x14ac:dyDescent="0.3">
      <c r="A10" s="23" t="s">
        <v>190</v>
      </c>
      <c r="B10" s="7" t="s">
        <v>191</v>
      </c>
      <c r="C10" s="7" t="s">
        <v>192</v>
      </c>
      <c r="D10" s="7" t="s">
        <v>193</v>
      </c>
    </row>
    <row r="11" spans="1:4" ht="120" customHeight="1" x14ac:dyDescent="0.3">
      <c r="A11" s="23" t="s">
        <v>194</v>
      </c>
      <c r="B11" s="7" t="s">
        <v>195</v>
      </c>
      <c r="C11" s="7" t="s">
        <v>196</v>
      </c>
      <c r="D11" s="7" t="s">
        <v>197</v>
      </c>
    </row>
    <row r="12" spans="1:4" ht="120" customHeight="1" x14ac:dyDescent="0.3">
      <c r="A12" s="23" t="s">
        <v>198</v>
      </c>
      <c r="B12" s="7" t="s">
        <v>199</v>
      </c>
      <c r="C12" s="7" t="s">
        <v>200</v>
      </c>
      <c r="D12" s="7" t="s">
        <v>201</v>
      </c>
    </row>
  </sheetData>
  <sheetProtection sheet="1" formatColumns="0" formatRows="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zoomScaleNormal="100" workbookViewId="0"/>
  </sheetViews>
  <sheetFormatPr defaultColWidth="8.6640625" defaultRowHeight="14.4" x14ac:dyDescent="0.3"/>
  <cols>
    <col min="1" max="1" width="34" customWidth="1"/>
    <col min="2" max="3" width="40" customWidth="1"/>
    <col min="4" max="4" width="28" customWidth="1"/>
  </cols>
  <sheetData>
    <row r="1" spans="1:4" ht="17.25" customHeight="1" x14ac:dyDescent="0.3">
      <c r="A1" s="1" t="s">
        <v>202</v>
      </c>
    </row>
    <row r="2" spans="1:4" ht="15" customHeight="1" x14ac:dyDescent="0.3">
      <c r="A2" s="2" t="s">
        <v>203</v>
      </c>
    </row>
    <row r="4" spans="1:4" ht="15" customHeight="1" x14ac:dyDescent="0.3">
      <c r="A4" s="9" t="s">
        <v>204</v>
      </c>
      <c r="B4" s="9" t="s">
        <v>205</v>
      </c>
      <c r="C4" s="9" t="s">
        <v>206</v>
      </c>
      <c r="D4" s="9" t="s">
        <v>207</v>
      </c>
    </row>
    <row r="5" spans="1:4" ht="90" customHeight="1" x14ac:dyDescent="0.3">
      <c r="A5" s="7" t="s">
        <v>208</v>
      </c>
      <c r="B5" s="7" t="s">
        <v>209</v>
      </c>
      <c r="C5" s="7" t="s">
        <v>210</v>
      </c>
      <c r="D5" s="7" t="s">
        <v>211</v>
      </c>
    </row>
    <row r="6" spans="1:4" ht="90" customHeight="1" x14ac:dyDescent="0.3">
      <c r="A6" s="7" t="s">
        <v>212</v>
      </c>
      <c r="B6" s="7" t="s">
        <v>213</v>
      </c>
      <c r="C6" s="7" t="s">
        <v>214</v>
      </c>
      <c r="D6" s="7" t="s">
        <v>215</v>
      </c>
    </row>
    <row r="7" spans="1:4" ht="90" customHeight="1" x14ac:dyDescent="0.3">
      <c r="A7" s="7" t="s">
        <v>216</v>
      </c>
      <c r="B7" s="7" t="s">
        <v>217</v>
      </c>
      <c r="C7" s="7" t="s">
        <v>218</v>
      </c>
      <c r="D7" s="7" t="s">
        <v>219</v>
      </c>
    </row>
    <row r="8" spans="1:4" ht="90" customHeight="1" x14ac:dyDescent="0.3">
      <c r="A8" s="7" t="s">
        <v>220</v>
      </c>
      <c r="B8" s="7" t="s">
        <v>221</v>
      </c>
      <c r="C8" s="7" t="s">
        <v>222</v>
      </c>
      <c r="D8" s="7" t="s">
        <v>223</v>
      </c>
    </row>
    <row r="9" spans="1:4" ht="90" customHeight="1" x14ac:dyDescent="0.3">
      <c r="A9" s="7" t="s">
        <v>224</v>
      </c>
      <c r="B9" s="7" t="s">
        <v>225</v>
      </c>
      <c r="C9" s="7" t="s">
        <v>226</v>
      </c>
      <c r="D9" s="7" t="s">
        <v>227</v>
      </c>
    </row>
    <row r="10" spans="1:4" ht="90" customHeight="1" x14ac:dyDescent="0.3">
      <c r="A10" s="7" t="s">
        <v>228</v>
      </c>
      <c r="B10" s="7" t="s">
        <v>229</v>
      </c>
      <c r="C10" s="7" t="s">
        <v>230</v>
      </c>
      <c r="D10" s="7" t="s">
        <v>231</v>
      </c>
    </row>
    <row r="12" spans="1:4" ht="15" customHeight="1" x14ac:dyDescent="0.3">
      <c r="A12" s="20" t="s">
        <v>232</v>
      </c>
    </row>
  </sheetData>
  <sheetProtection sheet="1" formatColumns="0" formatRows="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
  <sheetViews>
    <sheetView zoomScaleNormal="100" workbookViewId="0"/>
  </sheetViews>
  <sheetFormatPr defaultColWidth="8.6640625" defaultRowHeight="14.4" x14ac:dyDescent="0.3"/>
  <cols>
    <col min="1" max="1" width="32" customWidth="1"/>
    <col min="2" max="2" width="90" customWidth="1"/>
    <col min="3" max="3" width="8" customWidth="1"/>
    <col min="4" max="4" width="12" customWidth="1"/>
  </cols>
  <sheetData>
    <row r="1" spans="1:4" ht="17.25" customHeight="1" x14ac:dyDescent="0.3">
      <c r="A1" s="1" t="s">
        <v>233</v>
      </c>
    </row>
    <row r="2" spans="1:4" ht="15" customHeight="1" x14ac:dyDescent="0.3">
      <c r="A2" s="2" t="s">
        <v>234</v>
      </c>
    </row>
    <row r="3" spans="1:4" ht="15" customHeight="1" x14ac:dyDescent="0.3">
      <c r="C3" s="24" t="s">
        <v>235</v>
      </c>
      <c r="D3" s="24" t="s">
        <v>236</v>
      </c>
    </row>
    <row r="4" spans="1:4" ht="94.95" customHeight="1" x14ac:dyDescent="0.3">
      <c r="A4" s="24" t="s">
        <v>237</v>
      </c>
      <c r="B4" s="7" t="s">
        <v>238</v>
      </c>
      <c r="C4" s="25">
        <f>IF(TRIM(B4)="",0,LEN(TRIM(B4))-LEN(SUBSTITUTE(TRIM(B4)," ",""))+1)</f>
        <v>57</v>
      </c>
      <c r="D4" s="17" t="str">
        <f>IF(C4=0,"Trống",IF(C4&gt;60,"Quá 60 chữ","Đạt"))</f>
        <v>Đạt</v>
      </c>
    </row>
    <row r="5" spans="1:4" ht="94.95" customHeight="1" x14ac:dyDescent="0.3">
      <c r="A5" s="24" t="s">
        <v>239</v>
      </c>
      <c r="B5" s="7" t="s">
        <v>240</v>
      </c>
      <c r="C5" s="25">
        <f>IF(TRIM(B5)="",0,LEN(TRIM(B5))-LEN(SUBSTITUTE(TRIM(B5)," ",""))+1)</f>
        <v>44</v>
      </c>
      <c r="D5" s="17" t="str">
        <f>IF(C5=0,"Trống",IF(C5&gt;60,"Quá 60 chữ","Đạt"))</f>
        <v>Đạt</v>
      </c>
    </row>
    <row r="6" spans="1:4" ht="94.95" customHeight="1" x14ac:dyDescent="0.3">
      <c r="A6" s="24" t="s">
        <v>241</v>
      </c>
      <c r="B6" s="7" t="s">
        <v>242</v>
      </c>
      <c r="C6" s="25">
        <f>IF(TRIM(B6)="",0,LEN(TRIM(B6))-LEN(SUBSTITUTE(TRIM(B6)," ",""))+1)</f>
        <v>40</v>
      </c>
      <c r="D6" s="17" t="str">
        <f>IF(C6=0,"Trống",IF(C6&gt;60,"Quá 60 chữ","Đạt"))</f>
        <v>Đạt</v>
      </c>
    </row>
    <row r="7" spans="1:4" ht="94.95" customHeight="1" x14ac:dyDescent="0.3">
      <c r="A7" s="24" t="s">
        <v>243</v>
      </c>
      <c r="B7" s="7" t="s">
        <v>244</v>
      </c>
      <c r="C7" s="25">
        <f>IF(TRIM(B7)="",0,LEN(TRIM(B7))-LEN(SUBSTITUTE(TRIM(B7)," ",""))+1)</f>
        <v>49</v>
      </c>
      <c r="D7" s="17" t="str">
        <f>IF(C7=0,"Trống",IF(C7&gt;60,"Quá 60 chữ","Đạt"))</f>
        <v>Đạt</v>
      </c>
    </row>
    <row r="8" spans="1:4" ht="94.95" customHeight="1" x14ac:dyDescent="0.3">
      <c r="A8" s="24" t="s">
        <v>245</v>
      </c>
      <c r="B8" s="7" t="s">
        <v>246</v>
      </c>
      <c r="C8" s="25">
        <f>IF(TRIM(B8)="",0,LEN(TRIM(B8))-LEN(SUBSTITUTE(TRIM(B8)," ",""))+1)</f>
        <v>42</v>
      </c>
      <c r="D8" s="17" t="str">
        <f>IF(C8=0,"Trống",IF(C8&gt;60,"Quá 60 chữ","Đạt"))</f>
        <v>Đạt</v>
      </c>
    </row>
  </sheetData>
  <sheetProtection sheet="1" formatColumns="0" formatRows="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2"/>
  <sheetViews>
    <sheetView zoomScaleNormal="100" workbookViewId="0"/>
  </sheetViews>
  <sheetFormatPr defaultColWidth="8.6640625" defaultRowHeight="14.4" x14ac:dyDescent="0.3"/>
  <cols>
    <col min="1" max="1" width="66" customWidth="1"/>
    <col min="2" max="3" width="14" customWidth="1"/>
  </cols>
  <sheetData>
    <row r="1" spans="1:3" ht="17.25" customHeight="1" x14ac:dyDescent="0.3">
      <c r="A1" s="1" t="s">
        <v>247</v>
      </c>
    </row>
    <row r="2" spans="1:3" ht="15" customHeight="1" x14ac:dyDescent="0.3">
      <c r="A2" s="2" t="s">
        <v>248</v>
      </c>
    </row>
    <row r="4" spans="1:3" ht="15" customHeight="1" x14ac:dyDescent="0.3">
      <c r="A4" s="9" t="s">
        <v>249</v>
      </c>
      <c r="B4" s="9" t="s">
        <v>250</v>
      </c>
      <c r="C4" s="9" t="s">
        <v>236</v>
      </c>
    </row>
    <row r="5" spans="1:3" ht="15" customHeight="1" x14ac:dyDescent="0.3">
      <c r="A5" s="10" t="s">
        <v>251</v>
      </c>
      <c r="B5" s="11">
        <f>COUNT('1_Danh sách việc'!M5:M14)</f>
        <v>7</v>
      </c>
      <c r="C5" s="11" t="str">
        <f>IF(B5&gt;=5,"Đạt","Xem lại")</f>
        <v>Đạt</v>
      </c>
    </row>
    <row r="6" spans="1:3" ht="15" customHeight="1" x14ac:dyDescent="0.3">
      <c r="A6" s="10" t="s">
        <v>252</v>
      </c>
      <c r="B6" s="11">
        <f>COUNTIFS('1_Danh sách việc'!O5:O14,"Thiếu",'1_Danh sách việc'!P5:P14,"&lt;&gt;Không làm")</f>
        <v>0</v>
      </c>
      <c r="C6" s="11" t="str">
        <f>IF(B5=0,"",IF(B6=0,"Đạt","Xem lại"))</f>
        <v>Đạt</v>
      </c>
    </row>
    <row r="7" spans="1:3" ht="15" customHeight="1" x14ac:dyDescent="0.3">
      <c r="A7" s="10" t="s">
        <v>253</v>
      </c>
      <c r="B7" s="11">
        <f>COUNTIF('2_Mức tự động'!M6:M8,"Có")</f>
        <v>3</v>
      </c>
      <c r="C7" s="11" t="str">
        <f>IF(B7&gt;=2,"Đạt","Xem lại")</f>
        <v>Đạt</v>
      </c>
    </row>
    <row r="8" spans="1:3" ht="15" customHeight="1" x14ac:dyDescent="0.3">
      <c r="A8" s="10" t="s">
        <v>254</v>
      </c>
      <c r="B8" s="11">
        <f>COUNTA('3_Bảng lộ trình'!B5:B12)</f>
        <v>8</v>
      </c>
      <c r="C8" s="11" t="str">
        <f>IF(B8=8,"Đạt","Xem lại")</f>
        <v>Đạt</v>
      </c>
    </row>
    <row r="9" spans="1:3" ht="15" customHeight="1" x14ac:dyDescent="0.3">
      <c r="A9" s="10" t="s">
        <v>255</v>
      </c>
      <c r="B9" s="11" t="str">
        <f>IF(AND(LEN('3_Bảng lộ trình'!B12)&gt;10,SUMPRODUCT(--ISNUMBER(SEARCH({"0","1","2","3","4","5","6","7","8","9"},'3_Bảng lộ trình'!B12)))&gt;0),"Có","Chưa")</f>
        <v>Có</v>
      </c>
      <c r="C9" s="11" t="str">
        <f>IF(B9="Có","Đạt","Xem lại")</f>
        <v>Đạt</v>
      </c>
    </row>
    <row r="10" spans="1:3" ht="15" customHeight="1" x14ac:dyDescent="0.3">
      <c r="A10" s="10" t="s">
        <v>256</v>
      </c>
      <c r="B10" s="11" t="str">
        <f>IF(AND(LEN('3_Bảng lộ trình'!B11)&gt;10,SUMPRODUCT(--ISNUMBER(SEARCH({"0","1","2","3","4","5","6","7","8","9"},'3_Bảng lộ trình'!B11)))&gt;0),"Có","Chưa")</f>
        <v>Có</v>
      </c>
      <c r="C10" s="11" t="str">
        <f>IF(B10="Có","Đạt","Xem lại")</f>
        <v>Đạt</v>
      </c>
    </row>
    <row r="11" spans="1:3" ht="15" customHeight="1" x14ac:dyDescent="0.3">
      <c r="A11" s="10" t="s">
        <v>257</v>
      </c>
      <c r="B11" s="11">
        <f>COUNTIF('5_Slide lãnh đạo'!D4:D8,"Đạt")</f>
        <v>5</v>
      </c>
      <c r="C11" s="11" t="str">
        <f>IF(B11=5,"Đạt","Xem lại")</f>
        <v>Đạt</v>
      </c>
    </row>
    <row r="12" spans="1:3" ht="15" customHeight="1" x14ac:dyDescent="0.3">
      <c r="A12" s="10" t="s">
        <v>258</v>
      </c>
      <c r="B12" s="11">
        <f>COUNTIF('2_Mức tự động'!L5:L8,"Đạt")</f>
        <v>3</v>
      </c>
      <c r="C12" s="11" t="str">
        <f>IF(B12&gt;=1,"Đạt","Xem lại")</f>
        <v>Đạt</v>
      </c>
    </row>
  </sheetData>
  <sheetProtection sheet="1" formatColumns="0" formatRows="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2"/>
  <sheetViews>
    <sheetView zoomScaleNormal="100" workbookViewId="0"/>
  </sheetViews>
  <sheetFormatPr defaultColWidth="8.6640625" defaultRowHeight="14.4" x14ac:dyDescent="0.3"/>
  <cols>
    <col min="1" max="1" width="32" customWidth="1"/>
    <col min="2" max="2" width="30" customWidth="1"/>
    <col min="3" max="3" width="80" customWidth="1"/>
    <col min="4" max="4" width="40" customWidth="1"/>
  </cols>
  <sheetData>
    <row r="1" spans="1:4" ht="17.25" customHeight="1" x14ac:dyDescent="0.3">
      <c r="A1" s="1" t="s">
        <v>259</v>
      </c>
    </row>
    <row r="2" spans="1:4" ht="15" customHeight="1" x14ac:dyDescent="0.3">
      <c r="A2" s="2"/>
    </row>
    <row r="4" spans="1:4" ht="15" customHeight="1" x14ac:dyDescent="0.3">
      <c r="A4" s="9" t="s">
        <v>260</v>
      </c>
      <c r="B4" s="9" t="s">
        <v>261</v>
      </c>
      <c r="C4" s="9" t="s">
        <v>262</v>
      </c>
      <c r="D4" s="9" t="s">
        <v>263</v>
      </c>
    </row>
    <row r="5" spans="1:4" ht="15" customHeight="1" x14ac:dyDescent="0.3">
      <c r="A5" s="10" t="s">
        <v>264</v>
      </c>
      <c r="B5">
        <v>20</v>
      </c>
      <c r="C5" s="26" t="s">
        <v>265</v>
      </c>
      <c r="D5" s="27"/>
    </row>
    <row r="6" spans="1:4" ht="15" customHeight="1" x14ac:dyDescent="0.3">
      <c r="A6" s="10" t="s">
        <v>266</v>
      </c>
      <c r="B6">
        <v>20</v>
      </c>
      <c r="C6" s="26" t="s">
        <v>267</v>
      </c>
      <c r="D6" s="27"/>
    </row>
    <row r="7" spans="1:4" ht="15" customHeight="1" x14ac:dyDescent="0.3">
      <c r="A7" s="10" t="s">
        <v>268</v>
      </c>
      <c r="B7">
        <v>25</v>
      </c>
      <c r="C7" s="26" t="s">
        <v>269</v>
      </c>
      <c r="D7" s="27"/>
    </row>
    <row r="8" spans="1:4" ht="15" customHeight="1" x14ac:dyDescent="0.3">
      <c r="A8" s="10" t="s">
        <v>270</v>
      </c>
      <c r="B8">
        <v>15</v>
      </c>
      <c r="C8" s="26" t="s">
        <v>271</v>
      </c>
      <c r="D8" s="27"/>
    </row>
    <row r="9" spans="1:4" ht="15" customHeight="1" x14ac:dyDescent="0.3">
      <c r="A9" s="10" t="s">
        <v>272</v>
      </c>
      <c r="B9">
        <v>20</v>
      </c>
      <c r="C9" s="26" t="s">
        <v>273</v>
      </c>
      <c r="D9" s="27"/>
    </row>
    <row r="10" spans="1:4" ht="15" customHeight="1" x14ac:dyDescent="0.3">
      <c r="A10" s="8" t="s">
        <v>274</v>
      </c>
      <c r="B10">
        <f>SUM(B5:B9)</f>
        <v>100</v>
      </c>
      <c r="D10" s="11">
        <f>SUM(D5:D9)</f>
        <v>0</v>
      </c>
    </row>
    <row r="12" spans="1:4" ht="15" customHeight="1" x14ac:dyDescent="0.3">
      <c r="A12" s="8"/>
      <c r="D12" s="27"/>
    </row>
    <row r="15" spans="1:4" ht="15" customHeight="1" x14ac:dyDescent="0.3">
      <c r="A15" s="28" t="s">
        <v>275</v>
      </c>
    </row>
    <row r="16" spans="1:4" ht="15" customHeight="1" x14ac:dyDescent="0.3">
      <c r="A16" s="9" t="s">
        <v>260</v>
      </c>
      <c r="B16" s="9" t="s">
        <v>276</v>
      </c>
      <c r="C16" s="9" t="s">
        <v>277</v>
      </c>
      <c r="D16" s="9" t="s">
        <v>278</v>
      </c>
    </row>
    <row r="17" spans="1:4" ht="45.75" customHeight="1" x14ac:dyDescent="0.3">
      <c r="A17" s="29" t="s">
        <v>279</v>
      </c>
      <c r="B17" s="30" t="s">
        <v>280</v>
      </c>
      <c r="C17" s="30" t="s">
        <v>281</v>
      </c>
      <c r="D17" s="30" t="s">
        <v>282</v>
      </c>
    </row>
    <row r="18" spans="1:4" ht="45.75" customHeight="1" x14ac:dyDescent="0.3">
      <c r="A18" s="29" t="s">
        <v>283</v>
      </c>
      <c r="B18" s="30" t="s">
        <v>284</v>
      </c>
      <c r="C18" s="30" t="s">
        <v>285</v>
      </c>
      <c r="D18" s="30" t="s">
        <v>286</v>
      </c>
    </row>
    <row r="19" spans="1:4" ht="45.75" customHeight="1" x14ac:dyDescent="0.3">
      <c r="A19" s="29" t="s">
        <v>287</v>
      </c>
      <c r="B19" s="30" t="s">
        <v>288</v>
      </c>
      <c r="C19" s="30" t="s">
        <v>289</v>
      </c>
      <c r="D19" s="30" t="s">
        <v>290</v>
      </c>
    </row>
    <row r="20" spans="1:4" ht="45.75" customHeight="1" x14ac:dyDescent="0.3">
      <c r="A20" s="29" t="s">
        <v>291</v>
      </c>
      <c r="B20" s="30" t="s">
        <v>292</v>
      </c>
      <c r="C20" s="30" t="s">
        <v>293</v>
      </c>
      <c r="D20" s="30" t="s">
        <v>294</v>
      </c>
    </row>
    <row r="22" spans="1:4" ht="15" customHeight="1" x14ac:dyDescent="0.3">
      <c r="A22" s="20" t="s">
        <v>295</v>
      </c>
    </row>
  </sheetData>
  <sheetProtection sheet="1" formatColumns="0" formatRows="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9</vt:i4>
      </vt:variant>
    </vt:vector>
  </HeadingPairs>
  <TitlesOfParts>
    <vt:vector size="9" baseType="lpstr">
      <vt:lpstr>0_Hướng dẫn</vt:lpstr>
      <vt:lpstr>0_Đầu vào</vt:lpstr>
      <vt:lpstr>1_Danh sách việc</vt:lpstr>
      <vt:lpstr>2_Mức tự động</vt:lpstr>
      <vt:lpstr>3_Bảng lộ trình</vt:lpstr>
      <vt:lpstr>4_Rà soát</vt:lpstr>
      <vt:lpstr>5_Slide lãnh đạo</vt:lpstr>
      <vt:lpstr>6_Tự kiểm tra</vt:lpstr>
      <vt:lpstr>7_Thang điểm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Duy Thành Phan</cp:lastModifiedBy>
  <cp:revision>0</cp:revision>
  <dcterms:created xsi:type="dcterms:W3CDTF">2026-10-04T05:24:07Z</dcterms:created>
  <dcterms:modified xsi:type="dcterms:W3CDTF">2026-10-16T07:51:21Z</dcterms:modified>
  <dc:language>en-US</dc:language>
</cp:coreProperties>
</file>